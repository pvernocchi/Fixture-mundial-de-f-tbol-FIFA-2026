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9755a8311b602/Documents/"/>
    </mc:Choice>
  </mc:AlternateContent>
  <xr:revisionPtr revIDLastSave="6" documentId="8_{DC12BADA-09D4-4022-B526-012C680279FF}" xr6:coauthVersionLast="47" xr6:coauthVersionMax="47" xr10:uidLastSave="{4E204E3F-CFD4-4DB2-BDCF-5AA464E24F4A}"/>
  <bookViews>
    <workbookView xWindow="57480" yWindow="-120" windowWidth="38640" windowHeight="21120" activeTab="4" xr2:uid="{BFD63890-233D-4173-9717-C0DB827BD208}"/>
  </bookViews>
  <sheets>
    <sheet name="Dashboard" sheetId="13" r:id="rId1"/>
    <sheet name="Standings" sheetId="20" r:id="rId2"/>
    <sheet name="Matches" sheetId="14" r:id="rId3"/>
    <sheet name="Standings Data" sheetId="15" state="hidden" r:id="rId4"/>
    <sheet name="Knockout" sheetId="21" r:id="rId5"/>
    <sheet name="Knockout Data" sheetId="16" state="hidden" r:id="rId6"/>
    <sheet name="Teams" sheetId="17" r:id="rId7"/>
    <sheet name="Settings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6" l="1"/>
  <c r="I2" i="16"/>
  <c r="H3" i="16"/>
  <c r="I3" i="16"/>
  <c r="H4" i="16"/>
  <c r="I4" i="16"/>
  <c r="H5" i="16"/>
  <c r="I5" i="16"/>
  <c r="H6" i="16"/>
  <c r="I6" i="16"/>
  <c r="H7" i="16"/>
  <c r="I7" i="16"/>
  <c r="H8" i="16"/>
  <c r="I8" i="16"/>
  <c r="H9" i="16"/>
  <c r="I9" i="16"/>
  <c r="H10" i="16"/>
  <c r="I10" i="16"/>
  <c r="H11" i="16"/>
  <c r="I11" i="16"/>
  <c r="H12" i="16"/>
  <c r="I12" i="16"/>
  <c r="H13" i="16"/>
  <c r="I13" i="16"/>
  <c r="H14" i="16"/>
  <c r="I14" i="16"/>
  <c r="H15" i="16"/>
  <c r="I15" i="16"/>
  <c r="H16" i="16"/>
  <c r="I16" i="16"/>
  <c r="H17" i="16"/>
  <c r="I17" i="16"/>
  <c r="H18" i="16"/>
  <c r="I18" i="16"/>
  <c r="H19" i="16"/>
  <c r="I19" i="16"/>
  <c r="H20" i="16"/>
  <c r="I20" i="16"/>
  <c r="H21" i="16"/>
  <c r="I21" i="16"/>
  <c r="H22" i="16"/>
  <c r="I22" i="16"/>
  <c r="H23" i="16"/>
  <c r="I23" i="16"/>
  <c r="H24" i="16"/>
  <c r="I24" i="16"/>
  <c r="H25" i="16"/>
  <c r="I25" i="16"/>
  <c r="H26" i="16"/>
  <c r="I26" i="16"/>
  <c r="H27" i="16"/>
  <c r="I27" i="16"/>
  <c r="H28" i="16"/>
  <c r="I28" i="16"/>
  <c r="H29" i="16"/>
  <c r="I29" i="16"/>
  <c r="H30" i="16"/>
  <c r="I30" i="16"/>
  <c r="H31" i="16"/>
  <c r="I31" i="16"/>
  <c r="H32" i="16"/>
  <c r="I32" i="16"/>
  <c r="H33" i="16"/>
  <c r="I33" i="16"/>
  <c r="J14" i="16"/>
  <c r="J15" i="16"/>
  <c r="J18" i="16"/>
  <c r="J21" i="16"/>
  <c r="J4" i="16"/>
  <c r="J6" i="16"/>
  <c r="J17" i="16"/>
  <c r="J33" i="16"/>
  <c r="J7" i="16"/>
  <c r="J9" i="16"/>
  <c r="J10" i="16"/>
  <c r="J11" i="16"/>
  <c r="J8" i="16"/>
  <c r="J3" i="16"/>
  <c r="A49" i="21"/>
  <c r="B49" i="21"/>
  <c r="C49" i="21"/>
  <c r="D49" i="21"/>
  <c r="E49" i="21"/>
  <c r="K49" i="21"/>
  <c r="L49" i="21"/>
  <c r="A45" i="21"/>
  <c r="B45" i="21"/>
  <c r="C45" i="21"/>
  <c r="D45" i="21"/>
  <c r="E45" i="21"/>
  <c r="K45" i="21"/>
  <c r="L45" i="21"/>
  <c r="A40" i="21"/>
  <c r="B40" i="21"/>
  <c r="C40" i="21"/>
  <c r="D40" i="21"/>
  <c r="E40" i="21"/>
  <c r="K40" i="21"/>
  <c r="L40" i="21"/>
  <c r="A41" i="21"/>
  <c r="B41" i="21"/>
  <c r="C41" i="21"/>
  <c r="D41" i="21"/>
  <c r="E41" i="21"/>
  <c r="K41" i="21"/>
  <c r="L41" i="21"/>
  <c r="A33" i="21"/>
  <c r="B33" i="21"/>
  <c r="C33" i="21"/>
  <c r="D33" i="21"/>
  <c r="E33" i="21"/>
  <c r="K33" i="21"/>
  <c r="L33" i="21"/>
  <c r="A34" i="21"/>
  <c r="B34" i="21"/>
  <c r="C34" i="21"/>
  <c r="D34" i="21"/>
  <c r="E34" i="21"/>
  <c r="K34" i="21"/>
  <c r="L34" i="21"/>
  <c r="A35" i="21"/>
  <c r="B35" i="21"/>
  <c r="C35" i="21"/>
  <c r="D35" i="21"/>
  <c r="E35" i="21"/>
  <c r="K35" i="21"/>
  <c r="L35" i="21"/>
  <c r="A36" i="21"/>
  <c r="B36" i="21"/>
  <c r="C36" i="21"/>
  <c r="D36" i="21"/>
  <c r="E36" i="21"/>
  <c r="K36" i="21"/>
  <c r="L36" i="21"/>
  <c r="A22" i="21"/>
  <c r="B22" i="21"/>
  <c r="C22" i="21"/>
  <c r="D22" i="21"/>
  <c r="E22" i="21"/>
  <c r="K22" i="21"/>
  <c r="L22" i="21"/>
  <c r="A23" i="21"/>
  <c r="B23" i="21"/>
  <c r="C23" i="21"/>
  <c r="D23" i="21"/>
  <c r="E23" i="21"/>
  <c r="K23" i="21"/>
  <c r="L23" i="21"/>
  <c r="A24" i="21"/>
  <c r="B24" i="21"/>
  <c r="C24" i="21"/>
  <c r="D24" i="21"/>
  <c r="E24" i="21"/>
  <c r="K24" i="21"/>
  <c r="L24" i="21"/>
  <c r="A25" i="21"/>
  <c r="B25" i="21"/>
  <c r="C25" i="21"/>
  <c r="D25" i="21"/>
  <c r="E25" i="21"/>
  <c r="K25" i="21"/>
  <c r="L25" i="21"/>
  <c r="A26" i="21"/>
  <c r="B26" i="21"/>
  <c r="C26" i="21"/>
  <c r="D26" i="21"/>
  <c r="E26" i="21"/>
  <c r="K26" i="21"/>
  <c r="L26" i="21"/>
  <c r="A27" i="21"/>
  <c r="B27" i="21"/>
  <c r="C27" i="21"/>
  <c r="D27" i="21"/>
  <c r="E27" i="21"/>
  <c r="K27" i="21"/>
  <c r="L27" i="21"/>
  <c r="A28" i="21"/>
  <c r="B28" i="21"/>
  <c r="C28" i="21"/>
  <c r="D28" i="21"/>
  <c r="E28" i="21"/>
  <c r="K28" i="21"/>
  <c r="L28" i="21"/>
  <c r="A29" i="21"/>
  <c r="B29" i="21"/>
  <c r="C29" i="21"/>
  <c r="D29" i="21"/>
  <c r="E29" i="21"/>
  <c r="K29" i="21"/>
  <c r="L29" i="21"/>
  <c r="A3" i="21"/>
  <c r="B3" i="21"/>
  <c r="C3" i="21"/>
  <c r="D3" i="21"/>
  <c r="E3" i="21"/>
  <c r="K3" i="21"/>
  <c r="L3" i="21"/>
  <c r="A4" i="21"/>
  <c r="B4" i="21"/>
  <c r="C4" i="21"/>
  <c r="D4" i="21"/>
  <c r="E4" i="21"/>
  <c r="K4" i="21"/>
  <c r="L4" i="21"/>
  <c r="A5" i="21"/>
  <c r="B5" i="21"/>
  <c r="C5" i="21"/>
  <c r="D5" i="21"/>
  <c r="E5" i="21"/>
  <c r="K5" i="21"/>
  <c r="L5" i="21"/>
  <c r="A6" i="21"/>
  <c r="B6" i="21"/>
  <c r="C6" i="21"/>
  <c r="D6" i="21"/>
  <c r="E6" i="21"/>
  <c r="K6" i="21"/>
  <c r="L6" i="21"/>
  <c r="A7" i="21"/>
  <c r="B7" i="21"/>
  <c r="C7" i="21"/>
  <c r="D7" i="21"/>
  <c r="E7" i="21"/>
  <c r="K7" i="21"/>
  <c r="L7" i="21"/>
  <c r="A8" i="21"/>
  <c r="B8" i="21"/>
  <c r="C8" i="21"/>
  <c r="D8" i="21"/>
  <c r="E8" i="21"/>
  <c r="K8" i="21"/>
  <c r="L8" i="21"/>
  <c r="A9" i="21"/>
  <c r="B9" i="21"/>
  <c r="C9" i="21"/>
  <c r="D9" i="21"/>
  <c r="E9" i="21"/>
  <c r="K9" i="21"/>
  <c r="L9" i="21"/>
  <c r="A10" i="21"/>
  <c r="B10" i="21"/>
  <c r="C10" i="21"/>
  <c r="D10" i="21"/>
  <c r="E10" i="21"/>
  <c r="K10" i="21"/>
  <c r="L10" i="21"/>
  <c r="A11" i="21"/>
  <c r="B11" i="21"/>
  <c r="C11" i="21"/>
  <c r="D11" i="21"/>
  <c r="E11" i="21"/>
  <c r="K11" i="21"/>
  <c r="L11" i="21"/>
  <c r="A12" i="21"/>
  <c r="B12" i="21"/>
  <c r="C12" i="21"/>
  <c r="D12" i="21"/>
  <c r="E12" i="21"/>
  <c r="K12" i="21"/>
  <c r="L12" i="21"/>
  <c r="A13" i="21"/>
  <c r="B13" i="21"/>
  <c r="C13" i="21"/>
  <c r="D13" i="21"/>
  <c r="E13" i="21"/>
  <c r="K13" i="21"/>
  <c r="L13" i="21"/>
  <c r="A14" i="21"/>
  <c r="B14" i="21"/>
  <c r="C14" i="21"/>
  <c r="D14" i="21"/>
  <c r="E14" i="21"/>
  <c r="K14" i="21"/>
  <c r="L14" i="21"/>
  <c r="A15" i="21"/>
  <c r="B15" i="21"/>
  <c r="C15" i="21"/>
  <c r="D15" i="21"/>
  <c r="E15" i="21"/>
  <c r="K15" i="21"/>
  <c r="L15" i="21"/>
  <c r="A16" i="21"/>
  <c r="B16" i="21"/>
  <c r="C16" i="21"/>
  <c r="D16" i="21"/>
  <c r="E16" i="21"/>
  <c r="K16" i="21"/>
  <c r="L16" i="21"/>
  <c r="A17" i="21"/>
  <c r="B17" i="21"/>
  <c r="C17" i="21"/>
  <c r="D17" i="21"/>
  <c r="E17" i="21"/>
  <c r="K17" i="21"/>
  <c r="L17" i="21"/>
  <c r="A18" i="21"/>
  <c r="B18" i="21"/>
  <c r="C18" i="21"/>
  <c r="D18" i="21"/>
  <c r="E18" i="21"/>
  <c r="K18" i="21"/>
  <c r="L18" i="21"/>
  <c r="AC3" i="20"/>
  <c r="AE3" i="20"/>
  <c r="AC4" i="20"/>
  <c r="AE4" i="20"/>
  <c r="AC5" i="20"/>
  <c r="AE5" i="20"/>
  <c r="AC6" i="20"/>
  <c r="AE6" i="20"/>
  <c r="AC7" i="20"/>
  <c r="AE7" i="20"/>
  <c r="AC8" i="20"/>
  <c r="AE8" i="20"/>
  <c r="AC9" i="20"/>
  <c r="AE9" i="20"/>
  <c r="AC10" i="20"/>
  <c r="AE10" i="20"/>
  <c r="AC11" i="20"/>
  <c r="AE11" i="20"/>
  <c r="AC12" i="20"/>
  <c r="AE12" i="20"/>
  <c r="AC13" i="20"/>
  <c r="AE13" i="20"/>
  <c r="AC14" i="20"/>
  <c r="AE14" i="20"/>
  <c r="I2" i="14"/>
  <c r="I3" i="14"/>
  <c r="J3" i="14" s="1"/>
  <c r="I4" i="14"/>
  <c r="J4" i="14" s="1"/>
  <c r="I5" i="14"/>
  <c r="J5" i="14" s="1"/>
  <c r="I6" i="14"/>
  <c r="J6" i="14" s="1"/>
  <c r="I7" i="14"/>
  <c r="J7" i="14" s="1"/>
  <c r="I8" i="14"/>
  <c r="J8" i="14" s="1"/>
  <c r="I9" i="14"/>
  <c r="J9" i="14" s="1"/>
  <c r="I10" i="14"/>
  <c r="J10" i="14" s="1"/>
  <c r="I11" i="14"/>
  <c r="J11" i="14" s="1"/>
  <c r="I12" i="14"/>
  <c r="J12" i="14" s="1"/>
  <c r="I13" i="14"/>
  <c r="J13" i="14" s="1"/>
  <c r="I14" i="14"/>
  <c r="J14" i="14" s="1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J20" i="14" s="1"/>
  <c r="I21" i="14"/>
  <c r="J21" i="14" s="1"/>
  <c r="I22" i="14"/>
  <c r="J22" i="14" s="1"/>
  <c r="I23" i="14"/>
  <c r="J23" i="14" s="1"/>
  <c r="I24" i="14"/>
  <c r="J24" i="14" s="1"/>
  <c r="I25" i="14"/>
  <c r="J25" i="14" s="1"/>
  <c r="I26" i="14"/>
  <c r="J26" i="14" s="1"/>
  <c r="I27" i="14"/>
  <c r="J27" i="14" s="1"/>
  <c r="I28" i="14"/>
  <c r="J28" i="14" s="1"/>
  <c r="I29" i="14"/>
  <c r="J29" i="14" s="1"/>
  <c r="I30" i="14"/>
  <c r="J30" i="14" s="1"/>
  <c r="I31" i="14"/>
  <c r="J31" i="14" s="1"/>
  <c r="I32" i="14"/>
  <c r="J32" i="14" s="1"/>
  <c r="I33" i="14"/>
  <c r="J33" i="14" s="1"/>
  <c r="I34" i="14"/>
  <c r="J34" i="14" s="1"/>
  <c r="I35" i="14"/>
  <c r="J35" i="14" s="1"/>
  <c r="I36" i="14"/>
  <c r="J36" i="14" s="1"/>
  <c r="I37" i="14"/>
  <c r="J37" i="14" s="1"/>
  <c r="I38" i="14"/>
  <c r="J38" i="14" s="1"/>
  <c r="I39" i="14"/>
  <c r="J39" i="14" s="1"/>
  <c r="I40" i="14"/>
  <c r="J40" i="14" s="1"/>
  <c r="I41" i="14"/>
  <c r="J41" i="14" s="1"/>
  <c r="I42" i="14"/>
  <c r="J42" i="14" s="1"/>
  <c r="I43" i="14"/>
  <c r="J43" i="14" s="1"/>
  <c r="I44" i="14"/>
  <c r="J44" i="14" s="1"/>
  <c r="I45" i="14"/>
  <c r="J45" i="14" s="1"/>
  <c r="I46" i="14"/>
  <c r="J46" i="14" s="1"/>
  <c r="I47" i="14"/>
  <c r="J47" i="14" s="1"/>
  <c r="I48" i="14"/>
  <c r="J48" i="14" s="1"/>
  <c r="I49" i="14"/>
  <c r="J49" i="14" s="1"/>
  <c r="I50" i="14"/>
  <c r="J50" i="14" s="1"/>
  <c r="I51" i="14"/>
  <c r="J51" i="14" s="1"/>
  <c r="I52" i="14"/>
  <c r="J52" i="14" s="1"/>
  <c r="I53" i="14"/>
  <c r="J53" i="14" s="1"/>
  <c r="I54" i="14"/>
  <c r="J54" i="14" s="1"/>
  <c r="I55" i="14"/>
  <c r="J55" i="14" s="1"/>
  <c r="I56" i="14"/>
  <c r="J56" i="14" s="1"/>
  <c r="I57" i="14"/>
  <c r="J57" i="14" s="1"/>
  <c r="I58" i="14"/>
  <c r="J58" i="14" s="1"/>
  <c r="I59" i="14"/>
  <c r="J59" i="14" s="1"/>
  <c r="I60" i="14"/>
  <c r="J60" i="14" s="1"/>
  <c r="I61" i="14"/>
  <c r="J61" i="14" s="1"/>
  <c r="I62" i="14"/>
  <c r="J62" i="14" s="1"/>
  <c r="I63" i="14"/>
  <c r="J63" i="14" s="1"/>
  <c r="I64" i="14"/>
  <c r="J64" i="14" s="1"/>
  <c r="I65" i="14"/>
  <c r="J65" i="14" s="1"/>
  <c r="I66" i="14"/>
  <c r="J66" i="14" s="1"/>
  <c r="I67" i="14"/>
  <c r="J67" i="14" s="1"/>
  <c r="I68" i="14"/>
  <c r="J68" i="14" s="1"/>
  <c r="I69" i="14"/>
  <c r="J69" i="14" s="1"/>
  <c r="I70" i="14"/>
  <c r="J70" i="14" s="1"/>
  <c r="I71" i="14"/>
  <c r="J71" i="14" s="1"/>
  <c r="I72" i="14"/>
  <c r="J72" i="14" s="1"/>
  <c r="I73" i="14"/>
  <c r="J73" i="14" s="1"/>
  <c r="H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G2" i="15"/>
  <c r="G3" i="15"/>
  <c r="I3" i="15" s="1"/>
  <c r="G4" i="15"/>
  <c r="G5" i="15"/>
  <c r="I5" i="15" s="1"/>
  <c r="G6" i="15"/>
  <c r="I6" i="15" s="1"/>
  <c r="G7" i="15"/>
  <c r="I7" i="15" s="1"/>
  <c r="G8" i="15"/>
  <c r="I8" i="15" s="1"/>
  <c r="G9" i="15"/>
  <c r="I9" i="15" s="1"/>
  <c r="G10" i="15"/>
  <c r="I10" i="15" s="1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I40" i="15" s="1"/>
  <c r="G41" i="15"/>
  <c r="I41" i="15" s="1"/>
  <c r="G42" i="15"/>
  <c r="I42" i="15" s="1"/>
  <c r="G43" i="15"/>
  <c r="I43" i="15" s="1"/>
  <c r="G44" i="15"/>
  <c r="I44" i="15" s="1"/>
  <c r="G45" i="15"/>
  <c r="G46" i="15"/>
  <c r="G47" i="15"/>
  <c r="G48" i="15"/>
  <c r="G49" i="15"/>
  <c r="D12" i="15" a="1"/>
  <c r="D13" i="15" a="1"/>
  <c r="D14" i="15" a="1"/>
  <c r="D15" i="15" a="1"/>
  <c r="D16" i="15" a="1"/>
  <c r="D17" i="15" a="1"/>
  <c r="D18" i="15" a="1"/>
  <c r="D19" i="15" a="1"/>
  <c r="D20" i="15" a="1"/>
  <c r="D21" i="15" a="1"/>
  <c r="D22" i="15" a="1"/>
  <c r="D23" i="15" a="1"/>
  <c r="D24" i="15" a="1"/>
  <c r="D25" i="15" a="1"/>
  <c r="D26" i="15" a="1"/>
  <c r="D27" i="15" a="1"/>
  <c r="D28" i="15" a="1"/>
  <c r="D42" i="15" a="1"/>
  <c r="D43" i="15" a="1"/>
  <c r="D44" i="15" a="1"/>
  <c r="D45" i="15" a="1"/>
  <c r="D46" i="15" a="1"/>
  <c r="D47" i="15" a="1"/>
  <c r="D48" i="15" a="1"/>
  <c r="D49" i="15" a="1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J2" i="16" l="1"/>
  <c r="I36" i="15"/>
  <c r="I37" i="15"/>
  <c r="I38" i="15"/>
  <c r="I39" i="15"/>
  <c r="I2" i="15"/>
  <c r="J24" i="16"/>
  <c r="J27" i="16"/>
  <c r="J30" i="16"/>
  <c r="I35" i="15"/>
  <c r="J13" i="16"/>
  <c r="E6" i="13"/>
  <c r="J12" i="16"/>
  <c r="E9" i="13"/>
  <c r="J49" i="21"/>
  <c r="G30" i="16"/>
  <c r="G40" i="21" s="1"/>
  <c r="J34" i="21"/>
  <c r="F29" i="16"/>
  <c r="J28" i="21"/>
  <c r="G28" i="16"/>
  <c r="G35" i="21" s="1"/>
  <c r="J25" i="21"/>
  <c r="F26" i="16"/>
  <c r="J22" i="21"/>
  <c r="G24" i="16"/>
  <c r="G28" i="21" s="1"/>
  <c r="J18" i="21"/>
  <c r="F24" i="16"/>
  <c r="F28" i="21" s="1"/>
  <c r="J16" i="21"/>
  <c r="F25" i="16"/>
  <c r="J15" i="21"/>
  <c r="G23" i="16"/>
  <c r="G27" i="21" s="1"/>
  <c r="J12" i="21"/>
  <c r="F23" i="16"/>
  <c r="J11" i="21"/>
  <c r="G21" i="16"/>
  <c r="G25" i="21" s="1"/>
  <c r="J10" i="21"/>
  <c r="F21" i="16"/>
  <c r="F25" i="21" s="1"/>
  <c r="J9" i="21"/>
  <c r="G20" i="16"/>
  <c r="J8" i="21"/>
  <c r="G18" i="16"/>
  <c r="G22" i="21" s="1"/>
  <c r="J7" i="21"/>
  <c r="G19" i="16"/>
  <c r="G23" i="21" s="1"/>
  <c r="J5" i="21"/>
  <c r="F18" i="16"/>
  <c r="F22" i="21" s="1"/>
  <c r="J4" i="21"/>
  <c r="F19" i="16"/>
  <c r="J3" i="21"/>
  <c r="I4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45" i="15"/>
  <c r="I46" i="15"/>
  <c r="I47" i="15"/>
  <c r="I48" i="15"/>
  <c r="I49" i="15"/>
  <c r="E4" i="13"/>
  <c r="J2" i="14"/>
  <c r="I26" i="15"/>
  <c r="I27" i="15"/>
  <c r="I28" i="15"/>
  <c r="I29" i="15"/>
  <c r="I30" i="15"/>
  <c r="I31" i="15"/>
  <c r="I32" i="15"/>
  <c r="I33" i="15"/>
  <c r="I34" i="15"/>
  <c r="E2" i="15" a="1"/>
  <c r="A14" i="13" a="1"/>
  <c r="E8" i="15" a="1"/>
  <c r="E11" i="15" a="1"/>
  <c r="E14" i="15" a="1"/>
  <c r="E16" i="15" a="1"/>
  <c r="E19" i="15" a="1"/>
  <c r="E23" i="15" a="1"/>
  <c r="E26" i="15" a="1"/>
  <c r="J26" i="15" s="1"/>
  <c r="E29" i="15" a="1"/>
  <c r="E32" i="15" a="1"/>
  <c r="E9" i="15" a="1"/>
  <c r="E12" i="15" a="1"/>
  <c r="E15" i="15" a="1"/>
  <c r="E18" i="15" a="1"/>
  <c r="E21" i="15" a="1"/>
  <c r="E24" i="15" a="1"/>
  <c r="E27" i="15" a="1"/>
  <c r="J27" i="15" s="1"/>
  <c r="E31" i="15" a="1"/>
  <c r="D10" i="15" a="1"/>
  <c r="E3" i="15" a="1"/>
  <c r="E4" i="15" a="1"/>
  <c r="E5" i="15" a="1"/>
  <c r="E6" i="15" a="1"/>
  <c r="E7" i="15" a="1"/>
  <c r="E10" i="15" a="1"/>
  <c r="E13" i="15" a="1"/>
  <c r="E17" i="15" a="1"/>
  <c r="E20" i="15" a="1"/>
  <c r="E22" i="15" a="1"/>
  <c r="E25" i="15" a="1"/>
  <c r="E28" i="15" a="1"/>
  <c r="J28" i="15" s="1"/>
  <c r="E30" i="15" a="1"/>
  <c r="D9" i="15" a="1"/>
  <c r="E33" i="15" a="1"/>
  <c r="E34" i="15" a="1"/>
  <c r="E35" i="15" a="1"/>
  <c r="E36" i="15" a="1"/>
  <c r="E37" i="15" a="1"/>
  <c r="E38" i="15" a="1"/>
  <c r="E39" i="15" a="1"/>
  <c r="E40" i="15" a="1"/>
  <c r="E41" i="15" a="1"/>
  <c r="E42" i="15" a="1"/>
  <c r="J42" i="15" s="1"/>
  <c r="E43" i="15" a="1"/>
  <c r="J43" i="15" s="1"/>
  <c r="E44" i="15" a="1"/>
  <c r="J44" i="15" s="1"/>
  <c r="E45" i="15" a="1"/>
  <c r="J45" i="15" s="1"/>
  <c r="E46" i="15" a="1"/>
  <c r="J46" i="15" s="1"/>
  <c r="E47" i="15" a="1"/>
  <c r="J47" i="15" s="1"/>
  <c r="E48" i="15" a="1"/>
  <c r="J48" i="15" s="1"/>
  <c r="E49" i="15" a="1"/>
  <c r="J49" i="15" s="1"/>
  <c r="D2" i="15" a="1"/>
  <c r="D3" i="15" a="1"/>
  <c r="D4" i="15" a="1"/>
  <c r="D5" i="15" a="1"/>
  <c r="D6" i="15" a="1"/>
  <c r="D7" i="15" a="1"/>
  <c r="D8" i="15" a="1"/>
  <c r="D29" i="15" a="1"/>
  <c r="D30" i="15" a="1"/>
  <c r="D31" i="15" a="1"/>
  <c r="D32" i="15" a="1"/>
  <c r="D33" i="15" a="1"/>
  <c r="D34" i="15" a="1"/>
  <c r="D35" i="15" a="1"/>
  <c r="D36" i="15" a="1"/>
  <c r="D37" i="15" a="1"/>
  <c r="D38" i="15" a="1"/>
  <c r="D39" i="15" a="1"/>
  <c r="D40" i="15" a="1"/>
  <c r="D41" i="15" a="1"/>
  <c r="C34" i="15"/>
  <c r="C37" i="15"/>
  <c r="C35" i="15"/>
  <c r="C36" i="15"/>
  <c r="C29" i="15"/>
  <c r="C26" i="15"/>
  <c r="C28" i="15"/>
  <c r="C27" i="15"/>
  <c r="C30" i="15"/>
  <c r="C33" i="15"/>
  <c r="C31" i="15"/>
  <c r="C32" i="15"/>
  <c r="C47" i="15"/>
  <c r="C48" i="15"/>
  <c r="D11" i="15" a="1"/>
  <c r="C46" i="15"/>
  <c r="C49" i="15"/>
  <c r="C39" i="15"/>
  <c r="C40" i="15"/>
  <c r="C38" i="15"/>
  <c r="C41" i="15"/>
  <c r="C42" i="15"/>
  <c r="C45" i="15"/>
  <c r="C43" i="15"/>
  <c r="C44" i="15"/>
  <c r="J40" i="21" l="1"/>
  <c r="F33" i="16"/>
  <c r="F49" i="21" s="1"/>
  <c r="G22" i="16"/>
  <c r="G26" i="21" s="1"/>
  <c r="J14" i="21"/>
  <c r="F22" i="16"/>
  <c r="F26" i="21" s="1"/>
  <c r="J13" i="21"/>
  <c r="F27" i="21"/>
  <c r="J23" i="16"/>
  <c r="F33" i="21"/>
  <c r="F23" i="21"/>
  <c r="J19" i="16"/>
  <c r="F36" i="21"/>
  <c r="J22" i="16"/>
  <c r="F29" i="21"/>
  <c r="G24" i="21"/>
  <c r="E5" i="13"/>
  <c r="E7" i="13"/>
  <c r="J34" i="15"/>
  <c r="J35" i="15"/>
  <c r="F26" i="15"/>
  <c r="J36" i="15"/>
  <c r="J37" i="15"/>
  <c r="J38" i="15"/>
  <c r="J39" i="15"/>
  <c r="J40" i="15"/>
  <c r="J41" i="15"/>
  <c r="F34" i="15"/>
  <c r="F37" i="15"/>
  <c r="F29" i="15"/>
  <c r="F28" i="15"/>
  <c r="F27" i="15"/>
  <c r="F30" i="15"/>
  <c r="F33" i="15"/>
  <c r="F31" i="15"/>
  <c r="F32" i="15"/>
  <c r="F47" i="15"/>
  <c r="F48" i="15"/>
  <c r="F46" i="15"/>
  <c r="F49" i="15"/>
  <c r="F39" i="15"/>
  <c r="F40" i="15"/>
  <c r="F38" i="15"/>
  <c r="F41" i="15"/>
  <c r="F42" i="15"/>
  <c r="F45" i="15"/>
  <c r="F43" i="15"/>
  <c r="F44" i="15"/>
  <c r="J2" i="15"/>
  <c r="F2" i="15"/>
  <c r="F14" i="15"/>
  <c r="J14" i="15"/>
  <c r="F16" i="15"/>
  <c r="J16" i="15"/>
  <c r="F12" i="15"/>
  <c r="J12" i="15"/>
  <c r="F15" i="15"/>
  <c r="J15" i="15"/>
  <c r="F10" i="15"/>
  <c r="J10" i="15"/>
  <c r="F13" i="15"/>
  <c r="J13" i="15"/>
  <c r="F9" i="15"/>
  <c r="J9" i="15"/>
  <c r="F3" i="15"/>
  <c r="J3" i="15"/>
  <c r="F4" i="15"/>
  <c r="J4" i="15"/>
  <c r="F5" i="15"/>
  <c r="J5" i="15"/>
  <c r="F6" i="15"/>
  <c r="J6" i="15"/>
  <c r="F7" i="15"/>
  <c r="J7" i="15"/>
  <c r="F8" i="15"/>
  <c r="J8" i="15"/>
  <c r="F11" i="15"/>
  <c r="J11" i="15"/>
  <c r="J29" i="15"/>
  <c r="J30" i="15"/>
  <c r="J31" i="15"/>
  <c r="J32" i="15"/>
  <c r="J33" i="15"/>
  <c r="F35" i="15"/>
  <c r="F36" i="15"/>
  <c r="J19" i="15"/>
  <c r="F19" i="15"/>
  <c r="J23" i="15"/>
  <c r="F23" i="15"/>
  <c r="J18" i="15"/>
  <c r="F18" i="15"/>
  <c r="J21" i="15"/>
  <c r="F21" i="15"/>
  <c r="J24" i="15"/>
  <c r="F24" i="15"/>
  <c r="J17" i="15"/>
  <c r="F17" i="15"/>
  <c r="J20" i="15"/>
  <c r="F20" i="15"/>
  <c r="J22" i="15"/>
  <c r="F22" i="15"/>
  <c r="J25" i="15"/>
  <c r="F25" i="15"/>
  <c r="K41" i="15" l="1" a="1"/>
  <c r="J27" i="21"/>
  <c r="G27" i="16"/>
  <c r="G34" i="21" s="1"/>
  <c r="J23" i="21"/>
  <c r="G26" i="16"/>
  <c r="F27" i="16"/>
  <c r="F34" i="21" s="1"/>
  <c r="J26" i="21"/>
  <c r="K16" i="15" a="1"/>
  <c r="K39" i="15" a="1"/>
  <c r="K40" i="15" a="1"/>
  <c r="K14" i="15" a="1"/>
  <c r="K36" i="15" a="1"/>
  <c r="K37" i="15" a="1"/>
  <c r="K38" i="15" a="1"/>
  <c r="K17" i="15" a="1"/>
  <c r="K18" i="15" a="1"/>
  <c r="K19" i="15" a="1"/>
  <c r="K20" i="15" a="1"/>
  <c r="K21" i="15" a="1"/>
  <c r="K22" i="15" a="1"/>
  <c r="K25" i="15" a="1"/>
  <c r="K28" i="15" a="1"/>
  <c r="K29" i="15" a="1"/>
  <c r="K35" i="15" a="1"/>
  <c r="K15" i="15" a="1"/>
  <c r="K2" i="15" a="1"/>
  <c r="K43" i="15" a="1"/>
  <c r="K44" i="15" a="1"/>
  <c r="K48" i="15" a="1"/>
  <c r="K3" i="15" a="1"/>
  <c r="K47" i="15" a="1"/>
  <c r="K24" i="15" a="1"/>
  <c r="K26" i="15" a="1"/>
  <c r="K30" i="15" a="1"/>
  <c r="K34" i="15" a="1"/>
  <c r="K4" i="15" a="1"/>
  <c r="K42" i="15" a="1"/>
  <c r="K46" i="15" a="1"/>
  <c r="K5" i="15" a="1"/>
  <c r="K6" i="15" a="1"/>
  <c r="K7" i="15" a="1"/>
  <c r="K8" i="15" a="1"/>
  <c r="K9" i="15" a="1"/>
  <c r="K10" i="15" a="1"/>
  <c r="K11" i="15" a="1"/>
  <c r="K12" i="15" a="1"/>
  <c r="K13" i="15" a="1"/>
  <c r="K33" i="15" a="1"/>
  <c r="K45" i="15" a="1"/>
  <c r="K31" i="15" a="1"/>
  <c r="K49" i="15" a="1"/>
  <c r="K32" i="15" a="1"/>
  <c r="K23" i="15" a="1"/>
  <c r="K27" i="15" a="1"/>
  <c r="M41" i="15" l="1"/>
  <c r="L41" i="15"/>
  <c r="G33" i="21"/>
  <c r="J26" i="16"/>
  <c r="J28" i="16"/>
  <c r="L16" i="15"/>
  <c r="M16" i="15"/>
  <c r="L33" i="15"/>
  <c r="M33" i="15"/>
  <c r="M31" i="15"/>
  <c r="L31" i="15"/>
  <c r="M39" i="15"/>
  <c r="L39" i="15"/>
  <c r="L40" i="15"/>
  <c r="M40" i="15"/>
  <c r="L14" i="15"/>
  <c r="M14" i="15"/>
  <c r="L36" i="15"/>
  <c r="M36" i="15"/>
  <c r="M37" i="15"/>
  <c r="L37" i="15"/>
  <c r="M38" i="15"/>
  <c r="L38" i="15"/>
  <c r="L17" i="15"/>
  <c r="M17" i="15"/>
  <c r="L18" i="15"/>
  <c r="M18" i="15"/>
  <c r="L19" i="15"/>
  <c r="M19" i="15"/>
  <c r="F7" i="16" a="1"/>
  <c r="F8" i="21" s="1"/>
  <c r="F6" i="16" a="1"/>
  <c r="F7" i="21" s="1"/>
  <c r="F5" i="16" a="1"/>
  <c r="F6" i="21" s="1"/>
  <c r="F4" i="16" a="1"/>
  <c r="F5" i="21" s="1"/>
  <c r="F2" i="16" a="1"/>
  <c r="F3" i="21" s="1"/>
  <c r="B40" i="13" a="1"/>
  <c r="C40" i="13" s="1"/>
  <c r="B39" i="13" a="1"/>
  <c r="C39" i="13" s="1"/>
  <c r="B38" i="13" a="1"/>
  <c r="C38" i="13" s="1"/>
  <c r="B37" i="13" a="1"/>
  <c r="C37" i="13" s="1"/>
  <c r="B36" i="13" a="1"/>
  <c r="C36" i="13" s="1"/>
  <c r="B35" i="13" a="1"/>
  <c r="C35" i="13" s="1"/>
  <c r="B34" i="13" a="1"/>
  <c r="C34" i="13" s="1"/>
  <c r="B33" i="13" a="1"/>
  <c r="C33" i="13" s="1"/>
  <c r="B32" i="13" a="1"/>
  <c r="C32" i="13" s="1"/>
  <c r="B31" i="13" a="1"/>
  <c r="C31" i="13" s="1"/>
  <c r="B30" i="13" a="1"/>
  <c r="C30" i="13" s="1"/>
  <c r="B29" i="13" a="1"/>
  <c r="C29" i="13" s="1"/>
  <c r="F15" i="16" a="1"/>
  <c r="F16" i="21" s="1"/>
  <c r="F14" i="16" a="1"/>
  <c r="F15" i="21" s="1"/>
  <c r="G13" i="16" a="1"/>
  <c r="G14" i="21" s="1"/>
  <c r="G12" i="16" a="1"/>
  <c r="G13" i="21" s="1"/>
  <c r="F10" i="16" a="1"/>
  <c r="F11" i="21" s="1"/>
  <c r="F8" i="16" a="1"/>
  <c r="F9" i="21" s="1"/>
  <c r="G7" i="16" a="1"/>
  <c r="G8" i="21" s="1"/>
  <c r="G5" i="16" a="1"/>
  <c r="G4" i="16" a="1"/>
  <c r="G5" i="21" s="1"/>
  <c r="F3" i="16" a="1"/>
  <c r="F4" i="21" s="1"/>
  <c r="G2" i="16" a="1"/>
  <c r="G3" i="21" s="1"/>
  <c r="G17" i="16" a="1"/>
  <c r="G18" i="21" s="1"/>
  <c r="F17" i="16" a="1"/>
  <c r="F18" i="21" s="1"/>
  <c r="F16" i="16" a="1"/>
  <c r="F17" i="21" s="1"/>
  <c r="G15" i="16" a="1"/>
  <c r="G16" i="21" s="1"/>
  <c r="F13" i="16" a="1"/>
  <c r="F14" i="21" s="1"/>
  <c r="F12" i="16" a="1"/>
  <c r="F13" i="21" s="1"/>
  <c r="F11" i="16" a="1"/>
  <c r="F12" i="21" s="1"/>
  <c r="F9" i="16" a="1"/>
  <c r="F10" i="21" s="1"/>
  <c r="M45" i="15"/>
  <c r="L45" i="15"/>
  <c r="M49" i="15"/>
  <c r="L49" i="15"/>
  <c r="M20" i="15"/>
  <c r="L20" i="15"/>
  <c r="M21" i="15"/>
  <c r="L21" i="15"/>
  <c r="M22" i="15"/>
  <c r="L22" i="15"/>
  <c r="L25" i="15"/>
  <c r="M25" i="15"/>
  <c r="M28" i="15"/>
  <c r="L28" i="15"/>
  <c r="M29" i="15"/>
  <c r="L29" i="15"/>
  <c r="M35" i="15"/>
  <c r="L35" i="15"/>
  <c r="M15" i="15"/>
  <c r="L15" i="15"/>
  <c r="M2" i="15"/>
  <c r="L2" i="15"/>
  <c r="L43" i="15"/>
  <c r="M43" i="15"/>
  <c r="L44" i="15"/>
  <c r="M44" i="15"/>
  <c r="L48" i="15"/>
  <c r="M48" i="15"/>
  <c r="L3" i="15"/>
  <c r="M3" i="15"/>
  <c r="L47" i="15"/>
  <c r="M47" i="15"/>
  <c r="L24" i="15"/>
  <c r="M24" i="15"/>
  <c r="L26" i="15"/>
  <c r="M26" i="15"/>
  <c r="L30" i="15"/>
  <c r="M30" i="15"/>
  <c r="M34" i="15"/>
  <c r="L34" i="15"/>
  <c r="L4" i="15"/>
  <c r="M4" i="15"/>
  <c r="M42" i="15"/>
  <c r="L42" i="15"/>
  <c r="L46" i="15"/>
  <c r="M46" i="15"/>
  <c r="L5" i="15"/>
  <c r="M5" i="15"/>
  <c r="L6" i="15"/>
  <c r="M6" i="15"/>
  <c r="L7" i="15"/>
  <c r="M7" i="15"/>
  <c r="L8" i="15"/>
  <c r="M8" i="15"/>
  <c r="L9" i="15"/>
  <c r="M9" i="15"/>
  <c r="M10" i="15"/>
  <c r="L10" i="15"/>
  <c r="L11" i="15"/>
  <c r="M11" i="15"/>
  <c r="L12" i="15"/>
  <c r="M12" i="15"/>
  <c r="L13" i="15"/>
  <c r="M13" i="15"/>
  <c r="M32" i="15"/>
  <c r="L32" i="15"/>
  <c r="P13" i="15" a="1"/>
  <c r="AD14" i="20" s="1"/>
  <c r="P12" i="15" a="1"/>
  <c r="AD13" i="20" s="1"/>
  <c r="P8" i="15" a="1"/>
  <c r="AD9" i="20" s="1"/>
  <c r="L23" i="15"/>
  <c r="P9" i="15" a="1"/>
  <c r="AD10" i="20" s="1"/>
  <c r="M23" i="15"/>
  <c r="P5" i="15" a="1"/>
  <c r="AD6" i="20" s="1"/>
  <c r="P11" i="15" a="1"/>
  <c r="AD12" i="20" s="1"/>
  <c r="P3" i="15" a="1"/>
  <c r="AD4" i="20" s="1"/>
  <c r="P6" i="15" a="1"/>
  <c r="AD7" i="20" s="1"/>
  <c r="P2" i="15" a="1"/>
  <c r="AD3" i="20" s="1"/>
  <c r="P7" i="15" a="1"/>
  <c r="AD8" i="20" s="1"/>
  <c r="P10" i="15" a="1"/>
  <c r="AD11" i="20" s="1"/>
  <c r="P4" i="15" a="1"/>
  <c r="AD5" i="20" s="1"/>
  <c r="L27" i="15"/>
  <c r="M27" i="15"/>
  <c r="O32" i="20" l="1" a="1"/>
  <c r="T18" i="20" a="1"/>
  <c r="X18" i="20" a="1"/>
  <c r="V19" i="20" a="1"/>
  <c r="W19" i="20" a="1"/>
  <c r="Z19" i="20" a="1"/>
  <c r="P20" i="20" a="1"/>
  <c r="R20" i="20" a="1"/>
  <c r="W18" i="20" a="1"/>
  <c r="Y19" i="20" a="1"/>
  <c r="S19" i="20" a="1"/>
  <c r="T19" i="20" a="1"/>
  <c r="J5" i="16"/>
  <c r="G6" i="21"/>
  <c r="O17" i="20" a="1"/>
  <c r="T20" i="20" a="1"/>
  <c r="S17" i="20" a="1"/>
  <c r="X19" i="20" a="1"/>
  <c r="R18" i="20" a="1"/>
  <c r="O20" i="20" a="1"/>
  <c r="U17" i="20" a="1"/>
  <c r="Y17" i="20" a="1"/>
  <c r="S18" i="20" a="1"/>
  <c r="X17" i="20" a="1"/>
  <c r="U18" i="20" a="1"/>
  <c r="F30" i="16"/>
  <c r="J33" i="21"/>
  <c r="J35" i="21"/>
  <c r="F31" i="16"/>
  <c r="A27" i="20" a="1"/>
  <c r="D27" i="20" a="1"/>
  <c r="I24" i="20" a="1"/>
  <c r="A26" i="20" a="1"/>
  <c r="L27" i="20" a="1"/>
  <c r="R27" i="20" a="1"/>
  <c r="U27" i="20" a="1"/>
  <c r="Z27" i="20" a="1"/>
  <c r="V27" i="20" a="1"/>
  <c r="S26" i="20" a="1"/>
  <c r="Q27" i="20" a="1"/>
  <c r="Y27" i="20" a="1"/>
  <c r="R26" i="20" a="1"/>
  <c r="P27" i="20" a="1"/>
  <c r="V25" i="20" a="1"/>
  <c r="F31" i="20" a="1"/>
  <c r="F34" i="20" a="1"/>
  <c r="H34" i="20" a="1"/>
  <c r="C33" i="20" a="1"/>
  <c r="A31" i="20" a="1"/>
  <c r="H39" i="20" a="1"/>
  <c r="L39" i="20" a="1"/>
  <c r="D40" i="20" a="1"/>
  <c r="F39" i="20" a="1"/>
  <c r="I39" i="20" a="1"/>
  <c r="K39" i="20" a="1"/>
  <c r="B40" i="20" a="1"/>
  <c r="A41" i="20" a="1"/>
  <c r="J39" i="20" a="1"/>
  <c r="A40" i="20" a="1"/>
  <c r="C40" i="20" a="1"/>
  <c r="T24" i="20" a="1"/>
  <c r="R25" i="20" a="1"/>
  <c r="V26" i="20" a="1"/>
  <c r="O24" i="20" a="1"/>
  <c r="P25" i="20" a="1"/>
  <c r="V24" i="20" a="1"/>
  <c r="Z26" i="20" a="1"/>
  <c r="X27" i="20" a="1"/>
  <c r="T26" i="20" a="1"/>
  <c r="U25" i="20" a="1"/>
  <c r="Z24" i="20" a="1"/>
  <c r="Y25" i="20" a="1"/>
  <c r="P24" i="20" a="1"/>
  <c r="O27" i="20" a="1"/>
  <c r="X24" i="20" a="1"/>
  <c r="R24" i="20" a="1"/>
  <c r="W25" i="20" a="1"/>
  <c r="P26" i="20" a="1"/>
  <c r="Q26" i="20" a="1"/>
  <c r="O26" i="20" a="1"/>
  <c r="W27" i="20" a="1"/>
  <c r="T27" i="20" a="1"/>
  <c r="S24" i="20" a="1"/>
  <c r="W24" i="20" a="1"/>
  <c r="O25" i="20" a="1"/>
  <c r="T25" i="20" a="1"/>
  <c r="X25" i="20" a="1"/>
  <c r="Y26" i="20" a="1"/>
  <c r="S27" i="20" a="1"/>
  <c r="U24" i="20" a="1"/>
  <c r="Q25" i="20" a="1"/>
  <c r="U26" i="20" a="1"/>
  <c r="Y24" i="20" a="1"/>
  <c r="Z25" i="20" a="1"/>
  <c r="Q24" i="20" a="1"/>
  <c r="S25" i="20" a="1"/>
  <c r="X26" i="20" a="1"/>
  <c r="W26" i="20" a="1"/>
  <c r="L32" i="20" a="1"/>
  <c r="E33" i="20" a="1"/>
  <c r="J34" i="20" a="1"/>
  <c r="G34" i="20" a="1"/>
  <c r="C34" i="20" a="1"/>
  <c r="K33" i="20" a="1"/>
  <c r="H32" i="20" a="1"/>
  <c r="E32" i="20" a="1"/>
  <c r="B32" i="20" a="1"/>
  <c r="K32" i="20" a="1"/>
  <c r="H33" i="20" a="1"/>
  <c r="W31" i="20" a="1"/>
  <c r="W32" i="20" a="1"/>
  <c r="T31" i="20" a="1"/>
  <c r="Y31" i="20" a="1"/>
  <c r="X31" i="20" a="1"/>
  <c r="Q33" i="20" a="1"/>
  <c r="Y33" i="20" a="1"/>
  <c r="P31" i="20" a="1"/>
  <c r="W34" i="20" a="1"/>
  <c r="O34" i="20" a="1"/>
  <c r="T33" i="20" a="1"/>
  <c r="R31" i="20" a="1"/>
  <c r="Q32" i="20" a="1"/>
  <c r="U33" i="20" a="1"/>
  <c r="S31" i="20" a="1"/>
  <c r="Y32" i="20" a="1"/>
  <c r="T32" i="20" a="1"/>
  <c r="O31" i="20" a="1"/>
  <c r="V34" i="20" a="1"/>
  <c r="P34" i="20" a="1"/>
  <c r="X33" i="20" a="1"/>
  <c r="V31" i="20" a="1"/>
  <c r="Q31" i="20" a="1"/>
  <c r="X32" i="20" a="1"/>
  <c r="T34" i="20" a="1"/>
  <c r="U32" i="20" a="1"/>
  <c r="Z31" i="20" a="1"/>
  <c r="U34" i="20" a="1"/>
  <c r="O39" i="20" a="1"/>
  <c r="W39" i="20" a="1"/>
  <c r="T38" i="20" a="1"/>
  <c r="U39" i="20" a="1"/>
  <c r="Y41" i="20" a="1"/>
  <c r="R39" i="20" a="1"/>
  <c r="Q38" i="20" a="1"/>
  <c r="O40" i="20" a="1"/>
  <c r="W41" i="20" a="1"/>
  <c r="W38" i="20" a="1"/>
  <c r="C31" i="20" a="1"/>
  <c r="G31" i="20" a="1"/>
  <c r="J31" i="20" a="1"/>
  <c r="J33" i="20" a="1"/>
  <c r="D32" i="20" a="1"/>
  <c r="G32" i="20" a="1"/>
  <c r="J32" i="20" a="1"/>
  <c r="A34" i="20" a="1"/>
  <c r="E34" i="20" a="1"/>
  <c r="I34" i="20" a="1"/>
  <c r="K31" i="20" a="1"/>
  <c r="H31" i="20" a="1"/>
  <c r="D31" i="20" a="1"/>
  <c r="I33" i="20" a="1"/>
  <c r="B31" i="20" a="1"/>
  <c r="B34" i="20" a="1"/>
  <c r="K34" i="20" a="1"/>
  <c r="B41" i="20" a="1"/>
  <c r="C41" i="20" a="1"/>
  <c r="D41" i="20" a="1"/>
  <c r="K40" i="20" a="1"/>
  <c r="E40" i="20" a="1"/>
  <c r="F40" i="20" a="1"/>
  <c r="G40" i="20" a="1"/>
  <c r="L40" i="20" a="1"/>
  <c r="H40" i="20" a="1"/>
  <c r="G39" i="20" a="1"/>
  <c r="J40" i="20" a="1"/>
  <c r="D38" i="20" a="1"/>
  <c r="G41" i="20" a="1"/>
  <c r="F41" i="20" a="1"/>
  <c r="E41" i="20" a="1"/>
  <c r="L38" i="20" a="1"/>
  <c r="U19" i="20" a="1"/>
  <c r="Z18" i="20" a="1"/>
  <c r="P19" i="20" a="1"/>
  <c r="R19" i="20" a="1"/>
  <c r="U38" i="20" a="1"/>
  <c r="T39" i="20" a="1"/>
  <c r="Q40" i="20" a="1"/>
  <c r="P5" i="20" a="1"/>
  <c r="U5" i="20" a="1"/>
  <c r="Y5" i="20" a="1"/>
  <c r="R5" i="20" a="1"/>
  <c r="O4" i="20" a="1"/>
  <c r="Z4" i="20" a="1"/>
  <c r="X4" i="20" a="1"/>
  <c r="R4" i="20" a="1"/>
  <c r="T5" i="20" a="1"/>
  <c r="Q4" i="20" a="1"/>
  <c r="L26" i="20" a="1"/>
  <c r="J26" i="20" a="1"/>
  <c r="A25" i="20" a="1"/>
  <c r="E25" i="20" a="1"/>
  <c r="G24" i="20" a="1"/>
  <c r="K24" i="20" a="1"/>
  <c r="D25" i="20" a="1"/>
  <c r="H25" i="20" a="1"/>
  <c r="C24" i="20" a="1"/>
  <c r="K27" i="20" a="1"/>
  <c r="C27" i="20" a="1"/>
  <c r="L25" i="20" a="1"/>
  <c r="F24" i="20" a="1"/>
  <c r="J24" i="20" a="1"/>
  <c r="B25" i="20" a="1"/>
  <c r="G26" i="20" a="1"/>
  <c r="F25" i="20" a="1"/>
  <c r="J25" i="20" a="1"/>
  <c r="B26" i="20" a="1"/>
  <c r="E26" i="20" a="1"/>
  <c r="G25" i="20" a="1"/>
  <c r="F26" i="20" a="1"/>
  <c r="G27" i="20" a="1"/>
  <c r="F5" i="20" a="1"/>
  <c r="F3" i="20" a="1"/>
  <c r="K5" i="20" a="1"/>
  <c r="I6" i="20" a="1"/>
  <c r="B5" i="20" a="1"/>
  <c r="K3" i="20" a="1"/>
  <c r="J4" i="20" a="1"/>
  <c r="C3" i="20" a="1"/>
  <c r="J6" i="20" a="1"/>
  <c r="K6" i="20" a="1"/>
  <c r="L4" i="20" a="1"/>
  <c r="G6" i="20" a="1"/>
  <c r="D4" i="20" a="1"/>
  <c r="E4" i="20" a="1"/>
  <c r="I4" i="20" a="1"/>
  <c r="E3" i="20" a="1"/>
  <c r="C5" i="20" a="1"/>
  <c r="L3" i="20" a="1"/>
  <c r="A3" i="20" a="1"/>
  <c r="D34" i="20" a="1"/>
  <c r="L33" i="20" a="1"/>
  <c r="I32" i="20" a="1"/>
  <c r="F32" i="20" a="1"/>
  <c r="C32" i="20" a="1"/>
  <c r="L31" i="20" a="1"/>
  <c r="I31" i="20" a="1"/>
  <c r="E31" i="20" a="1"/>
  <c r="A32" i="20" a="1"/>
  <c r="G33" i="20" a="1"/>
  <c r="D33" i="20" a="1"/>
  <c r="B33" i="20" a="1"/>
  <c r="A33" i="20" a="1"/>
  <c r="L34" i="20" a="1"/>
  <c r="F33" i="20" a="1"/>
  <c r="H41" i="20" a="1"/>
  <c r="I41" i="20" a="1"/>
  <c r="J41" i="20" a="1"/>
  <c r="K41" i="20" a="1"/>
  <c r="L41" i="20" a="1"/>
  <c r="A38" i="20" a="1"/>
  <c r="K38" i="20" a="1"/>
  <c r="I38" i="20" a="1"/>
  <c r="F38" i="20" a="1"/>
  <c r="C38" i="20" a="1"/>
  <c r="H38" i="20" a="1"/>
  <c r="E38" i="20" a="1"/>
  <c r="B38" i="20" a="1"/>
  <c r="J38" i="20" a="1"/>
  <c r="G38" i="20" a="1"/>
  <c r="A39" i="20" a="1"/>
  <c r="B39" i="20" a="1"/>
  <c r="C39" i="20" a="1"/>
  <c r="I5" i="20" a="1"/>
  <c r="C6" i="20" a="1"/>
  <c r="L5" i="20" a="1"/>
  <c r="J5" i="20" a="1"/>
  <c r="H5" i="20" a="1"/>
  <c r="F6" i="20" a="1"/>
  <c r="E6" i="20" a="1"/>
  <c r="D6" i="20" a="1"/>
  <c r="B6" i="20" a="1"/>
  <c r="B3" i="20" a="1"/>
  <c r="G4" i="20" a="1"/>
  <c r="J3" i="20" a="1"/>
  <c r="C25" i="20" a="1"/>
  <c r="C4" i="20" a="1"/>
  <c r="F4" i="20" a="1"/>
  <c r="K4" i="20" a="1"/>
  <c r="D5" i="20" a="1"/>
  <c r="D3" i="20" a="1"/>
  <c r="L6" i="20" a="1"/>
  <c r="G3" i="20" a="1"/>
  <c r="B27" i="20" a="1"/>
  <c r="H27" i="20" a="1"/>
  <c r="H6" i="20" a="1"/>
  <c r="E5" i="20" a="1"/>
  <c r="B4" i="20" a="1"/>
  <c r="H4" i="20" a="1"/>
  <c r="A5" i="20" a="1"/>
  <c r="I3" i="20" a="1"/>
  <c r="H3" i="20" a="1"/>
  <c r="A4" i="20" a="1"/>
  <c r="I27" i="20" a="1"/>
  <c r="J27" i="20" a="1"/>
  <c r="E27" i="20" a="1"/>
  <c r="F27" i="20" a="1"/>
  <c r="E24" i="20" a="1"/>
  <c r="K26" i="20" a="1"/>
  <c r="D24" i="20" a="1"/>
  <c r="B24" i="20" a="1"/>
  <c r="C26" i="20" a="1"/>
  <c r="A24" i="20" a="1"/>
  <c r="H24" i="20" a="1"/>
  <c r="I26" i="20" a="1"/>
  <c r="K25" i="20" a="1"/>
  <c r="L24" i="20" a="1"/>
  <c r="I25" i="20" a="1"/>
  <c r="D26" i="20" a="1"/>
  <c r="H26" i="20" a="1"/>
  <c r="S10" i="20" a="1"/>
  <c r="Y12" i="20" a="1"/>
  <c r="R12" i="20" a="1"/>
  <c r="U12" i="20" a="1"/>
  <c r="V11" i="20" a="1"/>
  <c r="O11" i="20" a="1"/>
  <c r="P10" i="20" a="1"/>
  <c r="O10" i="20" a="1"/>
  <c r="Y11" i="20" a="1"/>
  <c r="Q10" i="20" a="1"/>
  <c r="R13" i="20" a="1"/>
  <c r="P13" i="20" a="1"/>
  <c r="P12" i="20" a="1"/>
  <c r="T13" i="20" a="1"/>
  <c r="V13" i="20" a="1"/>
  <c r="X13" i="20" a="1"/>
  <c r="U10" i="20" a="1"/>
  <c r="Y10" i="20" a="1"/>
  <c r="P11" i="20" a="1"/>
  <c r="W10" i="20" a="1"/>
  <c r="Z13" i="20" a="1"/>
  <c r="R10" i="20" a="1"/>
  <c r="X11" i="20" a="1"/>
  <c r="O13" i="20" a="1"/>
  <c r="S12" i="20" a="1"/>
  <c r="W12" i="20" a="1"/>
  <c r="Z12" i="20" a="1"/>
  <c r="S11" i="20" a="1"/>
  <c r="R11" i="20" a="1"/>
  <c r="V12" i="20" a="1"/>
  <c r="X20" i="20" a="1"/>
  <c r="W20" i="20" a="1"/>
  <c r="U20" i="20" a="1"/>
  <c r="W17" i="20" a="1"/>
  <c r="O18" i="20" a="1"/>
  <c r="Q18" i="20" a="1"/>
  <c r="S20" i="20" a="1"/>
  <c r="Q20" i="20" a="1"/>
  <c r="O19" i="20" a="1"/>
  <c r="Q19" i="20" a="1"/>
  <c r="P17" i="20" a="1"/>
  <c r="R17" i="20" a="1"/>
  <c r="Z20" i="20" a="1"/>
  <c r="Y20" i="20" a="1"/>
  <c r="T17" i="20" a="1"/>
  <c r="V17" i="20" a="1"/>
  <c r="Y18" i="20" a="1"/>
  <c r="V20" i="20" a="1"/>
  <c r="V18" i="20" a="1"/>
  <c r="Q17" i="20" a="1"/>
  <c r="Z17" i="20" a="1"/>
  <c r="P18" i="20" a="1"/>
  <c r="G5" i="20" a="1"/>
  <c r="A6" i="20" a="1"/>
  <c r="W33" i="20" a="1"/>
  <c r="P32" i="20" a="1"/>
  <c r="V32" i="20" a="1"/>
  <c r="S33" i="20" a="1"/>
  <c r="Y34" i="20" a="1"/>
  <c r="V33" i="20" a="1"/>
  <c r="S32" i="20" a="1"/>
  <c r="S34" i="20" a="1"/>
  <c r="U31" i="20" a="1"/>
  <c r="Z34" i="20" a="1"/>
  <c r="P33" i="20" a="1"/>
  <c r="Z33" i="20" a="1"/>
  <c r="Z32" i="20" a="1"/>
  <c r="R34" i="20" a="1"/>
  <c r="O33" i="20" a="1"/>
  <c r="R33" i="20" a="1"/>
  <c r="R32" i="20" a="1"/>
  <c r="Q34" i="20" a="1"/>
  <c r="X34" i="20" a="1"/>
  <c r="U41" i="20" a="1"/>
  <c r="P38" i="20" a="1"/>
  <c r="O41" i="20" a="1"/>
  <c r="R41" i="20" a="1"/>
  <c r="P39" i="20" a="1"/>
  <c r="P41" i="20" a="1"/>
  <c r="W40" i="20" a="1"/>
  <c r="Q39" i="20" a="1"/>
  <c r="O38" i="20" a="1"/>
  <c r="T41" i="20" a="1"/>
  <c r="Y38" i="20" a="1"/>
  <c r="Z38" i="20" a="1"/>
  <c r="R40" i="20" a="1"/>
  <c r="S41" i="20" a="1"/>
  <c r="S39" i="20" a="1"/>
  <c r="X39" i="20" a="1"/>
  <c r="S40" i="20" a="1"/>
  <c r="V39" i="20" a="1"/>
  <c r="Y39" i="20" a="1"/>
  <c r="Z39" i="20" a="1"/>
  <c r="U40" i="20" a="1"/>
  <c r="S38" i="20" a="1"/>
  <c r="V41" i="20" a="1"/>
  <c r="V40" i="20" a="1"/>
  <c r="R38" i="20" a="1"/>
  <c r="P40" i="20" a="1"/>
  <c r="V38" i="20" a="1"/>
  <c r="Z41" i="20" a="1"/>
  <c r="T40" i="20" a="1"/>
  <c r="X40" i="20" a="1"/>
  <c r="Y40" i="20" a="1"/>
  <c r="X41" i="20" a="1"/>
  <c r="Z40" i="20" a="1"/>
  <c r="X38" i="20" a="1"/>
  <c r="Q41" i="20" a="1"/>
  <c r="F13" i="20" a="1"/>
  <c r="D13" i="20" a="1"/>
  <c r="G13" i="20" a="1"/>
  <c r="H13" i="20" a="1"/>
  <c r="I13" i="20" a="1"/>
  <c r="J13" i="20" a="1"/>
  <c r="K13" i="20" a="1"/>
  <c r="L13" i="20" a="1"/>
  <c r="E10" i="20" a="1"/>
  <c r="D10" i="20" a="1"/>
  <c r="L11" i="20" a="1"/>
  <c r="A11" i="20" a="1"/>
  <c r="B11" i="20" a="1"/>
  <c r="A12" i="20" a="1"/>
  <c r="A10" i="20" a="1"/>
  <c r="I11" i="20" a="1"/>
  <c r="C13" i="20" a="1"/>
  <c r="G11" i="20" a="1"/>
  <c r="E12" i="20" a="1"/>
  <c r="E13" i="20" a="1"/>
  <c r="K12" i="20" a="1"/>
  <c r="L12" i="20" a="1"/>
  <c r="F10" i="20" a="1"/>
  <c r="J12" i="20" a="1"/>
  <c r="I12" i="20" a="1"/>
  <c r="G12" i="20" a="1"/>
  <c r="D12" i="20" a="1"/>
  <c r="K11" i="20" a="1"/>
  <c r="K10" i="20" a="1"/>
  <c r="C12" i="20" a="1"/>
  <c r="F12" i="20" a="1"/>
  <c r="G10" i="20" a="1"/>
  <c r="F11" i="20" a="1"/>
  <c r="J10" i="20" a="1"/>
  <c r="A13" i="20" a="1"/>
  <c r="H10" i="20" a="1"/>
  <c r="B12" i="20" a="1"/>
  <c r="D11" i="20" a="1"/>
  <c r="B13" i="20" a="1"/>
  <c r="B10" i="20" a="1"/>
  <c r="L10" i="20" a="1"/>
  <c r="H12" i="20" a="1"/>
  <c r="E11" i="20" a="1"/>
  <c r="C10" i="20" a="1"/>
  <c r="H11" i="20" a="1"/>
  <c r="J11" i="20" a="1"/>
  <c r="C11" i="20" a="1"/>
  <c r="I10" i="20" a="1"/>
  <c r="A20" i="20" a="1"/>
  <c r="I19" i="20" a="1"/>
  <c r="A19" i="20" a="1"/>
  <c r="F19" i="20" a="1"/>
  <c r="C19" i="20" a="1"/>
  <c r="L18" i="20" a="1"/>
  <c r="I18" i="20" a="1"/>
  <c r="G18" i="20" a="1"/>
  <c r="L17" i="20" a="1"/>
  <c r="E18" i="20" a="1"/>
  <c r="D18" i="20" a="1"/>
  <c r="B18" i="20" a="1"/>
  <c r="A18" i="20" a="1"/>
  <c r="K17" i="20" a="1"/>
  <c r="J17" i="20" a="1"/>
  <c r="I17" i="20" a="1"/>
  <c r="H17" i="20" a="1"/>
  <c r="G17" i="20" a="1"/>
  <c r="F17" i="20" a="1"/>
  <c r="E17" i="20" a="1"/>
  <c r="D17" i="20" a="1"/>
  <c r="C17" i="20" a="1"/>
  <c r="B17" i="20" a="1"/>
  <c r="A17" i="20" a="1"/>
  <c r="L19" i="20" a="1"/>
  <c r="L20" i="20" a="1"/>
  <c r="K20" i="20" a="1"/>
  <c r="J20" i="20" a="1"/>
  <c r="I20" i="20" a="1"/>
  <c r="H20" i="20" a="1"/>
  <c r="G20" i="20" a="1"/>
  <c r="F20" i="20" a="1"/>
  <c r="E20" i="20" a="1"/>
  <c r="D20" i="20" a="1"/>
  <c r="C20" i="20" a="1"/>
  <c r="K19" i="20" a="1"/>
  <c r="G19" i="20" a="1"/>
  <c r="C18" i="20" a="1"/>
  <c r="J18" i="20" a="1"/>
  <c r="F18" i="20" a="1"/>
  <c r="D19" i="20" a="1"/>
  <c r="B20" i="20" a="1"/>
  <c r="J19" i="20" a="1"/>
  <c r="H19" i="20" a="1"/>
  <c r="E19" i="20" a="1"/>
  <c r="B19" i="20" a="1"/>
  <c r="K18" i="20" a="1"/>
  <c r="H18" i="20" a="1"/>
  <c r="V10" i="20" a="1"/>
  <c r="Z10" i="20" a="1"/>
  <c r="T12" i="20" a="1"/>
  <c r="X12" i="20" a="1"/>
  <c r="T10" i="20" a="1"/>
  <c r="T11" i="20" a="1"/>
  <c r="Q11" i="20" a="1"/>
  <c r="X10" i="20" a="1"/>
  <c r="Y13" i="20" a="1"/>
  <c r="W13" i="20" a="1"/>
  <c r="U13" i="20" a="1"/>
  <c r="S13" i="20" a="1"/>
  <c r="Q13" i="20" a="1"/>
  <c r="O12" i="20" a="1"/>
  <c r="U11" i="20" a="1"/>
  <c r="W11" i="20" a="1"/>
  <c r="Z11" i="20" a="1"/>
  <c r="Q12" i="20" a="1"/>
  <c r="I40" i="20" a="1"/>
  <c r="E39" i="20" a="1"/>
  <c r="D39" i="20" a="1"/>
  <c r="S3" i="20" a="1"/>
  <c r="R3" i="20" a="1"/>
  <c r="V5" i="20" a="1"/>
  <c r="O3" i="20" a="1"/>
  <c r="P3" i="20" a="1"/>
  <c r="Y6" i="20" a="1"/>
  <c r="V3" i="20" a="1"/>
  <c r="Q6" i="20" a="1"/>
  <c r="W5" i="20" a="1"/>
  <c r="T6" i="20" a="1"/>
  <c r="Q3" i="20" a="1"/>
  <c r="V6" i="20" a="1"/>
  <c r="P4" i="20" a="1"/>
  <c r="X5" i="20" a="1"/>
  <c r="S5" i="20" a="1"/>
  <c r="Q5" i="20" a="1"/>
  <c r="O5" i="20" a="1"/>
  <c r="Y4" i="20" a="1"/>
  <c r="W4" i="20" a="1"/>
  <c r="V4" i="20" a="1"/>
  <c r="O6" i="20" a="1"/>
  <c r="R6" i="20" a="1"/>
  <c r="Z6" i="20" a="1"/>
  <c r="W6" i="20" a="1"/>
  <c r="X6" i="20" a="1"/>
  <c r="P6" i="20" a="1"/>
  <c r="U6" i="20" a="1"/>
  <c r="S6" i="20" a="1"/>
  <c r="Z5" i="20" a="1"/>
  <c r="Z3" i="20" a="1"/>
  <c r="U4" i="20" a="1"/>
  <c r="T4" i="20" a="1"/>
  <c r="S4" i="20" a="1"/>
  <c r="Y3" i="20" a="1"/>
  <c r="X3" i="20" a="1"/>
  <c r="W3" i="20" a="1"/>
  <c r="U3" i="20" a="1"/>
  <c r="T3" i="20" a="1"/>
  <c r="R13" i="15"/>
  <c r="AF14" i="20" s="1"/>
  <c r="S13" i="15"/>
  <c r="AG14" i="20" s="1"/>
  <c r="T13" i="15"/>
  <c r="AH14" i="20" s="1"/>
  <c r="R12" i="15"/>
  <c r="AF13" i="20" s="1"/>
  <c r="S12" i="15"/>
  <c r="AG13" i="20" s="1"/>
  <c r="T12" i="15"/>
  <c r="AH13" i="20" s="1"/>
  <c r="R8" i="15"/>
  <c r="AF9" i="20" s="1"/>
  <c r="S8" i="15"/>
  <c r="AG9" i="20" s="1"/>
  <c r="T8" i="15"/>
  <c r="AH9" i="20" s="1"/>
  <c r="R9" i="15"/>
  <c r="AF10" i="20" s="1"/>
  <c r="S9" i="15"/>
  <c r="AG10" i="20" s="1"/>
  <c r="T9" i="15"/>
  <c r="AH10" i="20" s="1"/>
  <c r="T5" i="15"/>
  <c r="AH6" i="20" s="1"/>
  <c r="S5" i="15"/>
  <c r="AG6" i="20" s="1"/>
  <c r="R5" i="15"/>
  <c r="AF6" i="20" s="1"/>
  <c r="R11" i="15"/>
  <c r="AF12" i="20" s="1"/>
  <c r="S11" i="15"/>
  <c r="AG12" i="20" s="1"/>
  <c r="T11" i="15"/>
  <c r="AH12" i="20" s="1"/>
  <c r="R3" i="15"/>
  <c r="AF4" i="20" s="1"/>
  <c r="S3" i="15"/>
  <c r="AG4" i="20" s="1"/>
  <c r="T3" i="15"/>
  <c r="AH4" i="20" s="1"/>
  <c r="S6" i="15"/>
  <c r="AG7" i="20" s="1"/>
  <c r="T6" i="15"/>
  <c r="AH7" i="20" s="1"/>
  <c r="R6" i="15"/>
  <c r="AF7" i="20" s="1"/>
  <c r="R2" i="15"/>
  <c r="AF3" i="20" s="1"/>
  <c r="S2" i="15"/>
  <c r="AG3" i="20" s="1"/>
  <c r="T2" i="15"/>
  <c r="AH3" i="20" s="1"/>
  <c r="T7" i="15"/>
  <c r="AH8" i="20" s="1"/>
  <c r="S7" i="15"/>
  <c r="AG8" i="20" s="1"/>
  <c r="R7" i="15"/>
  <c r="AF8" i="20" s="1"/>
  <c r="R10" i="15"/>
  <c r="AF11" i="20" s="1"/>
  <c r="S10" i="15"/>
  <c r="AG11" i="20" s="1"/>
  <c r="T10" i="15"/>
  <c r="AH11" i="20" s="1"/>
  <c r="R4" i="15"/>
  <c r="AF5" i="20" s="1"/>
  <c r="S4" i="15"/>
  <c r="AG5" i="20" s="1"/>
  <c r="T4" i="15"/>
  <c r="AH5" i="20" s="1"/>
  <c r="J6" i="21" l="1"/>
  <c r="F20" i="16"/>
  <c r="F32" i="16"/>
  <c r="F45" i="21" s="1"/>
  <c r="F40" i="21"/>
  <c r="F41" i="21"/>
  <c r="U12" i="15"/>
  <c r="AI13" i="20" s="1"/>
  <c r="U8" i="15"/>
  <c r="AI9" i="20" s="1"/>
  <c r="U9" i="15"/>
  <c r="AI10" i="20" s="1"/>
  <c r="U5" i="15"/>
  <c r="AI6" i="20" s="1"/>
  <c r="U11" i="15"/>
  <c r="AI12" i="20" s="1"/>
  <c r="U3" i="15"/>
  <c r="AI4" i="20" s="1"/>
  <c r="U6" i="15"/>
  <c r="AI7" i="20" s="1"/>
  <c r="U2" i="15"/>
  <c r="U7" i="15"/>
  <c r="AI8" i="20" s="1"/>
  <c r="U10" i="15"/>
  <c r="AI11" i="20" s="1"/>
  <c r="U13" i="15"/>
  <c r="AI14" i="20" s="1"/>
  <c r="U4" i="15"/>
  <c r="AI5" i="20" s="1"/>
  <c r="F24" i="21" l="1"/>
  <c r="J20" i="16"/>
  <c r="G3" i="16" a="1"/>
  <c r="G4" i="21" s="1"/>
  <c r="AI3" i="20"/>
  <c r="F28" i="16" l="1"/>
  <c r="F35" i="21" s="1"/>
  <c r="J24" i="21"/>
  <c r="G6" i="16" a="1"/>
  <c r="G7" i="21" s="1"/>
  <c r="G8" i="16" l="1" a="1"/>
  <c r="G9" i="21" s="1"/>
  <c r="G9" i="16" l="1" a="1"/>
  <c r="G10" i="16" l="1" a="1"/>
  <c r="G10" i="21"/>
  <c r="G11" i="21" l="1"/>
  <c r="G11" i="16" a="1"/>
  <c r="G12" i="21" l="1"/>
  <c r="G14" i="16" a="1"/>
  <c r="G15" i="21" l="1"/>
  <c r="G16" i="16" a="1"/>
  <c r="G17" i="21" l="1"/>
  <c r="J16" i="16"/>
  <c r="J17" i="21" l="1"/>
  <c r="G25" i="16"/>
  <c r="G29" i="21" l="1"/>
  <c r="J25" i="16"/>
  <c r="J29" i="21" l="1"/>
  <c r="G29" i="16"/>
  <c r="G36" i="21" l="1"/>
  <c r="J29" i="16"/>
  <c r="G31" i="16" l="1"/>
  <c r="J36" i="21"/>
  <c r="G41" i="21" l="1"/>
  <c r="J31" i="16"/>
  <c r="G32" i="16" l="1"/>
  <c r="J41" i="21"/>
  <c r="G33" i="16"/>
  <c r="G49" i="21" s="1"/>
  <c r="G45" i="21" l="1"/>
  <c r="J32" i="16"/>
  <c r="E8" i="13" l="1" a="1"/>
  <c r="J45" i="2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<sst xmlns="http://schemas.openxmlformats.org/spreadsheetml/2006/main" count="1038" uniqueCount="221">
  <si>
    <t>FIFA World Cup 2026 Tracker Settings</t>
  </si>
  <si>
    <t>Tournament start</t>
  </si>
  <si>
    <t>Tournament final</t>
  </si>
  <si>
    <t>Teams</t>
  </si>
  <si>
    <t>Groups</t>
  </si>
  <si>
    <t>Matches</t>
  </si>
  <si>
    <t>Advancement</t>
  </si>
  <si>
    <t>Top 2 in each group + 8 best third-place teams</t>
  </si>
  <si>
    <t>Points for win</t>
  </si>
  <si>
    <t>Points for draw</t>
  </si>
  <si>
    <t>Points for loss</t>
  </si>
  <si>
    <t>Last refreshed</t>
  </si>
  <si>
    <t>Group</t>
  </si>
  <si>
    <t>Team</t>
  </si>
  <si>
    <t>A</t>
  </si>
  <si>
    <t>Mexico</t>
  </si>
  <si>
    <t>South Africa</t>
  </si>
  <si>
    <t>Korea Republic</t>
  </si>
  <si>
    <t>Czechia</t>
  </si>
  <si>
    <t>B</t>
  </si>
  <si>
    <t>Canada</t>
  </si>
  <si>
    <t>Bosnia and Herzegovina</t>
  </si>
  <si>
    <t>Qatar</t>
  </si>
  <si>
    <t>Switzerland</t>
  </si>
  <si>
    <t>C</t>
  </si>
  <si>
    <t>Haiti</t>
  </si>
  <si>
    <t>Scotland</t>
  </si>
  <si>
    <t>Brazil</t>
  </si>
  <si>
    <t>Morocco</t>
  </si>
  <si>
    <t>D</t>
  </si>
  <si>
    <t>USA</t>
  </si>
  <si>
    <t>Paraguay</t>
  </si>
  <si>
    <t>Australia</t>
  </si>
  <si>
    <t>Türkiye</t>
  </si>
  <si>
    <t>E</t>
  </si>
  <si>
    <t>Côte d'Ivoire</t>
  </si>
  <si>
    <t>Ecuador</t>
  </si>
  <si>
    <t>Germany</t>
  </si>
  <si>
    <t>Curaçao</t>
  </si>
  <si>
    <t>F</t>
  </si>
  <si>
    <t>Netherlands</t>
  </si>
  <si>
    <t>Japan</t>
  </si>
  <si>
    <t>Sweden</t>
  </si>
  <si>
    <t>Tunisia</t>
  </si>
  <si>
    <t>G</t>
  </si>
  <si>
    <t>IR Iran</t>
  </si>
  <si>
    <t>New Zealand</t>
  </si>
  <si>
    <t>Belgium</t>
  </si>
  <si>
    <t>Egypt</t>
  </si>
  <si>
    <t>H</t>
  </si>
  <si>
    <t>Saudi Arabia</t>
  </si>
  <si>
    <t>Uruguay</t>
  </si>
  <si>
    <t>Spain</t>
  </si>
  <si>
    <t>Cabo Verde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</si>
  <si>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</si>
  <si>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</si>
  <si>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</si>
  <si>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</si>
  <si>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</si>
  <si>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</si>
  <si>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</si>
  <si>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</si>
  <si>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</si>
  <si>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</si>
  <si>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</si>
  <si>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</si>
  <si>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Congo DR</t>
  </si>
  <si>
    <t>Uzbekistan</t>
  </si>
  <si>
    <t>Colombia</t>
  </si>
  <si>
    <t>L</t>
  </si>
  <si>
    <t>Ghana</t>
  </si>
  <si>
    <t>Panama</t>
  </si>
  <si>
    <t>England</t>
  </si>
  <si>
    <t>Croatia</t>
  </si>
  <si>
    <t>Match #</t>
  </si>
  <si>
    <t>Date</t>
  </si>
  <si>
    <t>Stage</t>
  </si>
  <si>
    <t>Team 1</t>
  </si>
  <si>
    <t>Team 2</t>
  </si>
  <si>
    <t>Team 1 Goals</t>
  </si>
  <si>
    <t>Team 2 Goals</t>
  </si>
  <si>
    <t>Played?</t>
  </si>
  <si>
    <t>Winner</t>
  </si>
  <si>
    <t>Venue</t>
  </si>
  <si>
    <t>Notes</t>
  </si>
  <si>
    <t>Group stage</t>
  </si>
  <si>
    <t>Mexico City Stadium</t>
  </si>
  <si>
    <t>Guadalajara Stadium</t>
  </si>
  <si>
    <t>Toronto Stadium</t>
  </si>
  <si>
    <t>Los Angeles Stadium</t>
  </si>
  <si>
    <t>Boston Stadium</t>
  </si>
  <si>
    <t>BC Place Vancouver</t>
  </si>
  <si>
    <t>New York New Jersey Stadium</t>
  </si>
  <si>
    <t>San Francisco Bay Area Stadium</t>
  </si>
  <si>
    <t>Philadelphia Stadium</t>
  </si>
  <si>
    <t>Houston Stadium</t>
  </si>
  <si>
    <t>Dallas Stadium</t>
  </si>
  <si>
    <t>Estadio Monterrey</t>
  </si>
  <si>
    <t>Miami Stadium</t>
  </si>
  <si>
    <t>Atlanta Stadium</t>
  </si>
  <si>
    <t>Seattle Stadium</t>
  </si>
  <si>
    <t>Kansas City Stadium</t>
  </si>
  <si>
    <t>Pld</t>
  </si>
  <si>
    <t>W</t>
  </si>
  <si>
    <t>GF</t>
  </si>
  <si>
    <t>GA</t>
  </si>
  <si>
    <t>GD</t>
  </si>
  <si>
    <t>Pts</t>
  </si>
  <si>
    <t>Rank</t>
  </si>
  <si>
    <t>Position</t>
  </si>
  <si>
    <t>Advance Status</t>
  </si>
  <si>
    <t>Third-place ranking</t>
  </si>
  <si>
    <t>Status</t>
  </si>
  <si>
    <t>Team 1 Source</t>
  </si>
  <si>
    <t>Team 2 Source</t>
  </si>
  <si>
    <t>Round of 32</t>
  </si>
  <si>
    <t>Group A runners-up</t>
  </si>
  <si>
    <t>Group B runners-up</t>
  </si>
  <si>
    <t>Group E winners</t>
  </si>
  <si>
    <t>Group A/B/C/D/F third place</t>
  </si>
  <si>
    <t>Group F winners</t>
  </si>
  <si>
    <t>Group C runners-up</t>
  </si>
  <si>
    <t>Group C winners</t>
  </si>
  <si>
    <t>Group F runners-up</t>
  </si>
  <si>
    <t>Group I winners</t>
  </si>
  <si>
    <t>Group C/D/F/G/H third place</t>
  </si>
  <si>
    <t>Group E runners-up</t>
  </si>
  <si>
    <t>Group I runners-up</t>
  </si>
  <si>
    <t>Group A winners</t>
  </si>
  <si>
    <t>Group C/E/F/H/I third place</t>
  </si>
  <si>
    <t>Group L winners</t>
  </si>
  <si>
    <t>Group E/H/I/J/K third place</t>
  </si>
  <si>
    <t>Group D winners</t>
  </si>
  <si>
    <t>Group B/E/F/I/J third place</t>
  </si>
  <si>
    <t>Group G winners</t>
  </si>
  <si>
    <t>Group A/E/H/I/J third place</t>
  </si>
  <si>
    <t>Group K runners-up</t>
  </si>
  <si>
    <t>Group L runners-up</t>
  </si>
  <si>
    <t>Group H winners</t>
  </si>
  <si>
    <t>Group J runners-up</t>
  </si>
  <si>
    <t>Group B winners</t>
  </si>
  <si>
    <t>Group E/F/G/I/J third place</t>
  </si>
  <si>
    <t>Group J winners</t>
  </si>
  <si>
    <t>Group H runners-up</t>
  </si>
  <si>
    <t>Group K winners</t>
  </si>
  <si>
    <t>Group D/E/I/J/L third place</t>
  </si>
  <si>
    <t>Group D runners-up</t>
  </si>
  <si>
    <t>Group G runners-up</t>
  </si>
  <si>
    <t>Round of 16</t>
  </si>
  <si>
    <t>Winner match 74</t>
  </si>
  <si>
    <t>Winner match 77</t>
  </si>
  <si>
    <t>Winner match 73</t>
  </si>
  <si>
    <t>Winner match 75</t>
  </si>
  <si>
    <t>Winner match 76</t>
  </si>
  <si>
    <t>Winner match 78</t>
  </si>
  <si>
    <t>Winner match 79</t>
  </si>
  <si>
    <t>Winner match 80</t>
  </si>
  <si>
    <t>Winner match 83</t>
  </si>
  <si>
    <t>Winner match 84</t>
  </si>
  <si>
    <t>Winner match 81</t>
  </si>
  <si>
    <t>Winner match 82</t>
  </si>
  <si>
    <t>Winner match 86</t>
  </si>
  <si>
    <t>Winner match 88</t>
  </si>
  <si>
    <t>Winner match 85</t>
  </si>
  <si>
    <t>Winner match 87</t>
  </si>
  <si>
    <t>Quarter-final</t>
  </si>
  <si>
    <t>Winner match 89</t>
  </si>
  <si>
    <t>Winner match 90</t>
  </si>
  <si>
    <t>Winner match 93</t>
  </si>
  <si>
    <t>Winner match 94</t>
  </si>
  <si>
    <t>Winner match 91</t>
  </si>
  <si>
    <t>Winner match 92</t>
  </si>
  <si>
    <t>Winner match 95</t>
  </si>
  <si>
    <t>Winner match 96</t>
  </si>
  <si>
    <t>Semi-final</t>
  </si>
  <si>
    <t>Winner match 97</t>
  </si>
  <si>
    <t>Winner match 98</t>
  </si>
  <si>
    <t>Winner match 99</t>
  </si>
  <si>
    <t>Winner match 100</t>
  </si>
  <si>
    <t>Bronze final</t>
  </si>
  <si>
    <t>Runner-up match 101</t>
  </si>
  <si>
    <t>Runner-up match 102</t>
  </si>
  <si>
    <t>Final</t>
  </si>
  <si>
    <t>Winner match 101</t>
  </si>
  <si>
    <t>Winner match 102</t>
  </si>
  <si>
    <t>Source basis</t>
  </si>
  <si>
    <t>FIFA published schedule and format</t>
  </si>
  <si>
    <t>Enter losing semi-finalists manually after matches 101 and 102.</t>
  </si>
  <si>
    <t>FIFA World Cup 2026 Tracker</t>
  </si>
  <si>
    <t>Enter scores in the yellow columns on Matches and Knockout; standings, leaders, and dashboard KPIs update automatically.</t>
  </si>
  <si>
    <t>Tournament dates</t>
  </si>
  <si>
    <t>11 Jun – 19 Jul 2026</t>
  </si>
  <si>
    <t>Host countries</t>
  </si>
  <si>
    <t>Canada, Mexico, USA</t>
  </si>
  <si>
    <t>12 groups of 4</t>
  </si>
  <si>
    <t>Total matches</t>
  </si>
  <si>
    <t>Top 2 + 8 best third-place teams</t>
  </si>
  <si>
    <t>Completed group matches</t>
  </si>
  <si>
    <t>Group matches remaining</t>
  </si>
  <si>
    <t>Goals entered</t>
  </si>
  <si>
    <t>Average goals / played</t>
  </si>
  <si>
    <t>Knockout matches completed</t>
  </si>
  <si>
    <t>Current champion</t>
  </si>
  <si>
    <t>Next / upcoming fixtures</t>
  </si>
  <si>
    <t>Current group leaders</t>
  </si>
  <si>
    <t>Leader</t>
  </si>
  <si>
    <t>Points</t>
  </si>
  <si>
    <t>2026-06-26 11:00 CEST</t>
  </si>
  <si>
    <t>Group A standings</t>
  </si>
  <si>
    <t>Group B standings</t>
  </si>
  <si>
    <t>Group C standings</t>
  </si>
  <si>
    <t>Group D standings</t>
  </si>
  <si>
    <t>Group E standings</t>
  </si>
  <si>
    <t>Group F standings</t>
  </si>
  <si>
    <t>Group G standings</t>
  </si>
  <si>
    <t>Group H standings</t>
  </si>
  <si>
    <t>Group I standings</t>
  </si>
  <si>
    <t>Group J standings</t>
  </si>
  <si>
    <t>Group K standings</t>
  </si>
  <si>
    <t>Group L standings</t>
  </si>
  <si>
    <t>Tables above are linked to the hidden calculation sheet so match results continue to update standings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</si>
</sst>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20"/>
      <color rgb="FFFFFFFF"/>
      <name val="Aptos"/>
    </font>
    <font>
      <b/>
      <sz val="10"/>
      <color rgb="FF000000"/>
      <name val="Aptos"/>
    </font>
    <font>
      <b/>
      <sz val="10"/>
      <color theme="1"/>
      <name val="Aptos"/>
    </font>
    <font>
      <b/>
      <sz val="10"/>
      <color theme="0"/>
      <name val="Aptos"/>
    </font>
    <font>
      <b/>
      <sz val="11"/>
      <color rgb="FFFFFFFF"/>
      <name val="Aptos Narrow"/>
      <family val="2"/>
      <scheme val="minor"/>
    </font>
    <font>
      <sz val="10"/>
      <color rgb="FF1F4E78"/>
      <name val="Aptos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C8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AF2F8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0" fontId="2" fillId="5" borderId="0" xfId="0" applyFont="1" applyFill="1"/>
    <xf numFmtId="0" fontId="4" fillId="7" borderId="0" xfId="0" applyFont="1" applyFill="1"/>
    <xf numFmtId="1" fontId="1" fillId="8" borderId="0" xfId="0" applyNumberFormat="1" applyFont="1" applyFill="1"/>
    <xf numFmtId="0" fontId="1" fillId="0" borderId="0" xfId="0" applyFont="1" applyAlignment="1">
      <alignment wrapText="1"/>
    </xf>
    <xf numFmtId="0" fontId="5" fillId="7" borderId="0" xfId="0" applyFont="1" applyFill="1"/>
    <xf numFmtId="0" fontId="7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11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/>
    <xf numFmtId="0" fontId="0" fillId="9" borderId="0" xfId="0" applyFill="1"/>
    <xf numFmtId="164" fontId="0" fillId="0" borderId="0" xfId="0" applyNumberFormat="1" applyAlignment="1">
      <alignment horizontal="center"/>
    </xf>
    <xf numFmtId="1" fontId="0" fillId="8" borderId="0" xfId="0" applyNumberFormat="1" applyFill="1" applyAlignment="1">
      <alignment horizontal="center"/>
    </xf>
    <xf numFmtId="0" fontId="6" fillId="2" borderId="0" xfId="0" applyFont="1" applyFill="1"/>
    <xf numFmtId="0" fontId="6" fillId="2" borderId="2" xfId="0" applyFont="1" applyFill="1" applyBorder="1"/>
    <xf numFmtId="0" fontId="2" fillId="10" borderId="2" xfId="0" applyFont="1" applyFill="1" applyBorder="1"/>
    <xf numFmtId="0" fontId="2" fillId="11" borderId="2" xfId="0" applyFont="1" applyFill="1" applyBorder="1"/>
    <xf numFmtId="0" fontId="1" fillId="4" borderId="3" xfId="0" applyFont="1" applyFill="1" applyBorder="1"/>
    <xf numFmtId="164" fontId="1" fillId="4" borderId="4" xfId="0" applyNumberFormat="1" applyFont="1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wrapText="1"/>
    </xf>
    <xf numFmtId="0" fontId="1" fillId="12" borderId="4" xfId="0" applyFont="1" applyFill="1" applyBorder="1" applyAlignment="1">
      <alignment wrapText="1"/>
    </xf>
    <xf numFmtId="1" fontId="1" fillId="8" borderId="4" xfId="0" applyNumberFormat="1" applyFont="1" applyFill="1" applyBorder="1"/>
    <xf numFmtId="0" fontId="1" fillId="9" borderId="4" xfId="0" applyFont="1" applyFill="1" applyBorder="1"/>
    <xf numFmtId="0" fontId="1" fillId="3" borderId="5" xfId="0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1" fontId="1" fillId="8" borderId="1" xfId="0" applyNumberFormat="1" applyFont="1" applyFill="1" applyBorder="1"/>
    <xf numFmtId="0" fontId="1" fillId="9" borderId="1" xfId="0" applyFont="1" applyFill="1" applyBorder="1"/>
    <xf numFmtId="0" fontId="1" fillId="4" borderId="5" xfId="0" applyFont="1" applyFill="1" applyBorder="1"/>
    <xf numFmtId="164" fontId="1" fillId="4" borderId="1" xfId="0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7" fillId="5" borderId="0" xfId="0" applyFont="1" applyFill="1" applyAlignment="1">
      <alignment horizontal="center"/>
    </xf>
    <xf numFmtId="0" fontId="3" fillId="5" borderId="0" xfId="0" applyFont="1" applyFill="1"/>
    <xf numFmtId="0" fontId="1" fillId="6" borderId="0" xfId="0" applyFont="1" applyFill="1" applyAlignment="1">
      <alignment wrapText="1"/>
    </xf>
    <xf numFmtId="0" fontId="2" fillId="11" borderId="0" xfId="0" applyFont="1" applyFill="1" applyAlignment="1">
      <alignment horizontal="center"/>
    </xf>
    <xf numFmtId="0" fontId="8" fillId="12" borderId="0" xfId="0" applyFont="1" applyFill="1" applyAlignment="1">
      <alignment wrapText="1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290">
    <dxf>
      <font>
        <sz val="10"/>
        <name val="Aptos"/>
      </font>
      <alignment wrapText="1"/>
    </dxf>
    <dxf>
      <font>
        <sz val="10"/>
        <name val="Aptos"/>
      </font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1" formatCode="0"/>
      <fill>
        <patternFill patternType="solid">
          <fgColor indexed="64"/>
          <bgColor rgb="FFFFF2CC"/>
        </patternFill>
      </fill>
    </dxf>
    <dxf>
      <font>
        <sz val="10"/>
        <name val="Aptos"/>
      </font>
      <numFmt numFmtId="1" formatCode="0"/>
      <fill>
        <patternFill patternType="solid">
          <fgColor indexed="64"/>
          <bgColor rgb="FFFFF2CC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164" formatCode="yyyy\-mm\-dd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alignment horizontal="left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70AD47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numFmt numFmtId="1" formatCode="0"/>
      <alignment horizontal="center"/>
    </dxf>
    <dxf>
      <font>
        <sz val="10"/>
        <name val="Aptos"/>
      </font>
      <alignment horizontal="left"/>
    </dxf>
    <dxf>
      <font>
        <sz val="10"/>
        <name val="Aptos"/>
      </font>
      <alignment horizontal="center"/>
    </dxf>
    <dxf>
      <font>
        <b/>
        <sz val="10"/>
        <color rgb="FFFFFFFF"/>
        <name val="Aptos"/>
      </font>
      <fill>
        <patternFill patternType="solid">
          <fgColor indexed="64"/>
          <bgColor rgb="FF5B9BD5"/>
        </patternFill>
      </fill>
      <alignment horizontal="center"/>
    </dxf>
    <dxf>
      <alignment horizontal="left"/>
    </dxf>
    <dxf>
      <alignment horizontal="left"/>
    </dxf>
    <dxf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alignment horizontal="left"/>
    </dxf>
    <dxf>
      <alignment horizontal="left"/>
    </dxf>
    <dxf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alignment horizontal="left"/>
    </dxf>
    <dxf>
      <alignment horizontal="left"/>
    </dxf>
    <dxf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alignment horizontal="left"/>
    </dxf>
    <dxf>
      <alignment horizontal="left"/>
    </dxf>
    <dxf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alignment horizontal="left"/>
    </dxf>
    <dxf>
      <alignment horizontal="left"/>
    </dxf>
    <dxf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alignment horizontal="left"/>
    </dxf>
    <dxf>
      <alignment horizontal="left"/>
    </dxf>
    <dxf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numFmt numFmtId="1" formatCode="0"/>
      <fill>
        <patternFill patternType="solid">
          <fgColor indexed="64"/>
          <bgColor rgb="FFFFF2CC"/>
        </patternFill>
      </fill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6198B6-6956-44E8-9025-641D3FAF5CCD}" name="Group_A_Standings" displayName="Group_A_Standings" ref="A2:L6" totalsRowShown="0" headerRowDxfId="205" dataDxfId="204">
  <autoFilter ref="A2:L6" xr:uid="{546198B6-6956-44E8-9025-641D3FAF5CCD}"/>
  <tableColumns count="12">
    <tableColumn id="1" xr3:uid="{DC2F4231-83BA-4238-B12D-D1951E797473}" name="Team" dataDxfId="203"/>
    <tableColumn id="2" xr3:uid="{5C54DEED-34A0-437A-A53F-DC3B61BED659}" name="Pld" dataDxfId="202"/>
    <tableColumn id="3" xr3:uid="{77A031B8-1374-488C-A4BD-5CCEB2027917}" name="W" dataDxfId="201"/>
    <tableColumn id="4" xr3:uid="{F95E5972-E98C-4371-8622-452D215C7078}" name="D" dataDxfId="200"/>
    <tableColumn id="5" xr3:uid="{BAE42F42-740D-44AD-AAFA-D8FA3C71D6C9}" name="L" dataDxfId="199"/>
    <tableColumn id="6" xr3:uid="{0579051B-94C1-4B4F-B561-7B2F20AF250D}" name="GF" dataDxfId="198"/>
    <tableColumn id="7" xr3:uid="{88215B4A-BA34-4EB3-9B66-51C1DA3341C7}" name="GA" dataDxfId="197"/>
    <tableColumn id="8" xr3:uid="{EFD36493-858D-446B-A8B7-E4ABB46889B6}" name="GD" dataDxfId="196"/>
    <tableColumn id="9" xr3:uid="{11C83A51-D08F-45C1-AB1F-39CFA733ECD7}" name="Pts" dataDxfId="195"/>
    <tableColumn id="10" xr3:uid="{FCC4EB06-64F9-4B81-A65E-AF1ECFA7EC84}" name="Rank" dataDxfId="194"/>
    <tableColumn id="11" xr3:uid="{66294C37-46EF-4882-AA66-5AFFED53CC84}" name="Position" dataDxfId="193"/>
    <tableColumn id="12" xr3:uid="{88480EC6-CCEA-4D3E-9266-2E8AB42780EF}" name="Advance Status" dataDxfId="1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905E8A5-9125-46D1-9948-23105E5D9509}" name="Group_B_Standings" displayName="Group_B_Standings" ref="A9:L13" totalsRowShown="0" headerRowDxfId="191" dataDxfId="190">
  <autoFilter ref="A9:L13" xr:uid="{9905E8A5-9125-46D1-9948-23105E5D9509}"/>
  <tableColumns count="12">
    <tableColumn id="1" xr3:uid="{54F175A8-2E67-4497-A3EC-5EE794B7437C}" name="Team" dataDxfId="189"/>
    <tableColumn id="2" xr3:uid="{F2F05574-007D-4724-8F29-D713CB9BE871}" name="Pld" dataDxfId="188"/>
    <tableColumn id="3" xr3:uid="{84E7EDB0-C162-4FFC-9068-A9A5BCE66E25}" name="W" dataDxfId="187"/>
    <tableColumn id="4" xr3:uid="{0D9E3286-A1C7-4577-A3EA-4F18250EBE74}" name="D" dataDxfId="186"/>
    <tableColumn id="5" xr3:uid="{9DB5124C-CF7E-4E9E-945D-CA37318D50BB}" name="L" dataDxfId="185"/>
    <tableColumn id="6" xr3:uid="{8CFAAFD7-08EE-4F12-A2AD-3FDD67925625}" name="GF" dataDxfId="184"/>
    <tableColumn id="7" xr3:uid="{8F746CBA-3774-453F-A903-EF055C3C633B}" name="GA" dataDxfId="183"/>
    <tableColumn id="8" xr3:uid="{A8C2B5ED-4BD4-4722-B611-773B077BB521}" name="GD" dataDxfId="182"/>
    <tableColumn id="9" xr3:uid="{107FD75F-7D75-4C23-BDF8-E76391C91E12}" name="Pts" dataDxfId="181"/>
    <tableColumn id="10" xr3:uid="{75AE2024-7D05-4909-A127-BD1F0DBBD0D3}" name="Rank" dataDxfId="180"/>
    <tableColumn id="11" xr3:uid="{CD366EAD-DDDC-4C80-87BF-BED6AA392695}" name="Position" dataDxfId="179"/>
    <tableColumn id="12" xr3:uid="{91AB10BC-49FC-4C87-B7F2-097B4906E4DC}" name="Advance Status" dataDxfId="1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221866B-A461-447E-BB4D-C95B01AAC0A7}" name="Group_C_Standings" displayName="Group_C_Standings" ref="A16:L20" totalsRowShown="0" headerRowDxfId="177" dataDxfId="176">
  <autoFilter ref="A16:L20" xr:uid="{A221866B-A461-447E-BB4D-C95B01AAC0A7}"/>
  <tableColumns count="12">
    <tableColumn id="1" xr3:uid="{09BB189B-EE3C-4152-88E3-D00C2A5A6BD3}" name="Team" dataDxfId="175"/>
    <tableColumn id="2" xr3:uid="{6974ACAF-2D07-4E81-8478-0ED62BB66E78}" name="Pld" dataDxfId="174"/>
    <tableColumn id="3" xr3:uid="{4DE69409-12F2-47DB-A958-669414BD1BA2}" name="W" dataDxfId="173"/>
    <tableColumn id="4" xr3:uid="{80A9AC9A-FBC9-42EB-BCF6-AB03E7734B44}" name="D" dataDxfId="172"/>
    <tableColumn id="5" xr3:uid="{DA1DA983-FB3A-4A5A-B741-7EA3CBCCC297}" name="L" dataDxfId="171"/>
    <tableColumn id="6" xr3:uid="{7E7244EA-716C-464D-A913-0727ABBE4C5B}" name="GF" dataDxfId="170"/>
    <tableColumn id="7" xr3:uid="{2CB363A5-5B75-45A4-974A-88B4347ACDEE}" name="GA" dataDxfId="169"/>
    <tableColumn id="8" xr3:uid="{B30641C8-1324-401C-88BF-52DEA7F03AE6}" name="GD" dataDxfId="168"/>
    <tableColumn id="9" xr3:uid="{98AB9C98-3D68-427B-91C3-A0E40CC01EE7}" name="Pts" dataDxfId="167"/>
    <tableColumn id="10" xr3:uid="{25FC1BE1-194A-4A9E-B94F-4FD32361F275}" name="Rank" dataDxfId="166"/>
    <tableColumn id="11" xr3:uid="{B8739713-339E-47D9-83A5-5BBCA92DF681}" name="Position" dataDxfId="165"/>
    <tableColumn id="12" xr3:uid="{3EB4CC8E-E8A4-4382-B4F6-AE98AB918A38}" name="Advance Status" dataDxfId="1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F2B403D-FA1A-40F2-BF41-AB448ED37F09}" name="Group_D_Standings" displayName="Group_D_Standings" ref="A23:L27" totalsRowShown="0" headerRowDxfId="163" dataDxfId="162">
  <autoFilter ref="A23:L27" xr:uid="{5F2B403D-FA1A-40F2-BF41-AB448ED37F09}"/>
  <tableColumns count="12">
    <tableColumn id="1" xr3:uid="{AE480ECE-6F03-4E92-A43A-E43C8D401F4B}" name="Team" dataDxfId="161"/>
    <tableColumn id="2" xr3:uid="{3540FF77-9E4E-41BF-B503-3A47D42621AD}" name="Pld" dataDxfId="160"/>
    <tableColumn id="3" xr3:uid="{B4F4C67B-A8D8-439E-8937-07F42ACF053F}" name="W" dataDxfId="159"/>
    <tableColumn id="4" xr3:uid="{37BA3487-3F0B-4571-896B-956A41685A5E}" name="D" dataDxfId="158"/>
    <tableColumn id="5" xr3:uid="{3770A152-F61D-439A-8DA4-31FE5E73F18F}" name="L" dataDxfId="157"/>
    <tableColumn id="6" xr3:uid="{9522DE0E-90F8-4702-87F1-A04357069AD5}" name="GF" dataDxfId="156"/>
    <tableColumn id="7" xr3:uid="{D8476C36-A7B9-451B-A45D-F78EF01A1FC9}" name="GA" dataDxfId="155"/>
    <tableColumn id="8" xr3:uid="{7E08B036-1D2A-4C79-A0AD-BD21A7D0B3E2}" name="GD" dataDxfId="154"/>
    <tableColumn id="9" xr3:uid="{899A2BB0-6FBF-4969-A415-0346413BF9E9}" name="Pts" dataDxfId="153"/>
    <tableColumn id="10" xr3:uid="{A0F9A262-ADC2-4EBB-9B33-94EE02E5B706}" name="Rank" dataDxfId="152"/>
    <tableColumn id="11" xr3:uid="{D3E38252-FBF7-46D1-B02E-1D5D557EBF44}" name="Position" dataDxfId="151"/>
    <tableColumn id="12" xr3:uid="{A31CDC26-C664-48FB-842F-B627F144C8DC}" name="Advance Status" dataDxfId="1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A434470-A471-429B-BEEA-D4CCDB6C12A2}" name="Group_E_Standings" displayName="Group_E_Standings" ref="A30:L34" totalsRowShown="0" headerRowDxfId="149" dataDxfId="148">
  <autoFilter ref="A30:L34" xr:uid="{8A434470-A471-429B-BEEA-D4CCDB6C12A2}"/>
  <tableColumns count="12">
    <tableColumn id="1" xr3:uid="{5D314B70-B565-4224-A6B1-D27B67766800}" name="Team" dataDxfId="147"/>
    <tableColumn id="2" xr3:uid="{6F417C8A-5288-417A-B187-78D6319A8DB4}" name="Pld" dataDxfId="146"/>
    <tableColumn id="3" xr3:uid="{C8FE1A06-DCF6-4537-BAC7-DBDF02584D39}" name="W" dataDxfId="145"/>
    <tableColumn id="4" xr3:uid="{F05D8397-BB2E-42F0-9314-95F17DBE58D1}" name="D" dataDxfId="144"/>
    <tableColumn id="5" xr3:uid="{CB8328AC-BECE-47FA-A2AB-0607C5B6B93E}" name="L" dataDxfId="143"/>
    <tableColumn id="6" xr3:uid="{F021BD2C-CA4D-4661-895E-EC738AC59417}" name="GF" dataDxfId="142"/>
    <tableColumn id="7" xr3:uid="{0ED09310-F7E1-497F-9469-2E9227755D22}" name="GA" dataDxfId="141"/>
    <tableColumn id="8" xr3:uid="{780304EC-0168-46EC-BF28-6C2C49D0A4B8}" name="GD" dataDxfId="140"/>
    <tableColumn id="9" xr3:uid="{1FCFB3F0-8279-4FEA-809A-E247F92E9084}" name="Pts" dataDxfId="139"/>
    <tableColumn id="10" xr3:uid="{502F8063-EDF4-4F22-AD93-B9C4EE0E1007}" name="Rank" dataDxfId="138"/>
    <tableColumn id="11" xr3:uid="{875D7DF3-4F59-467A-8AA9-849500F71E84}" name="Position" dataDxfId="137"/>
    <tableColumn id="12" xr3:uid="{B05448D7-5A7B-4942-B3C8-833D2AD0E5E7}" name="Advance Status" dataDxfId="1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9977C23-2BF9-4076-B7FF-2A3860153A7E}" name="Group_F_Standings" displayName="Group_F_Standings" ref="A37:L41" totalsRowShown="0" headerRowDxfId="135" dataDxfId="134">
  <autoFilter ref="A37:L41" xr:uid="{19977C23-2BF9-4076-B7FF-2A3860153A7E}"/>
  <tableColumns count="12">
    <tableColumn id="1" xr3:uid="{27D00BD4-13F9-4678-8853-9D90AADC32D4}" name="Team" dataDxfId="133"/>
    <tableColumn id="2" xr3:uid="{426F6591-A42A-4295-AF72-E3A3A73CEF6F}" name="Pld" dataDxfId="132"/>
    <tableColumn id="3" xr3:uid="{D679A77D-FC59-4580-9DBD-077650C49E1F}" name="W" dataDxfId="131"/>
    <tableColumn id="4" xr3:uid="{1A7ADBC7-0C82-437A-98FD-6398338E13E5}" name="D" dataDxfId="130"/>
    <tableColumn id="5" xr3:uid="{21F725F2-260A-4401-8E16-623730DC8B11}" name="L" dataDxfId="129"/>
    <tableColumn id="6" xr3:uid="{E61DAC26-1B4E-48B5-B053-4342D4E4DC02}" name="GF" dataDxfId="128"/>
    <tableColumn id="7" xr3:uid="{8FD60571-D0A7-4E66-AAA0-F22659465193}" name="GA" dataDxfId="127"/>
    <tableColumn id="8" xr3:uid="{E5441857-C62F-4011-B52A-A3446EC148BA}" name="GD" dataDxfId="126"/>
    <tableColumn id="9" xr3:uid="{8200A4B3-34AE-453F-905B-CE53C8EE15D7}" name="Pts" dataDxfId="125"/>
    <tableColumn id="10" xr3:uid="{30E6BEDD-43F6-4088-982B-839F586F18D6}" name="Rank" dataDxfId="124"/>
    <tableColumn id="11" xr3:uid="{2D4817A9-B81A-4998-90F2-221F605A855B}" name="Position" dataDxfId="123"/>
    <tableColumn id="12" xr3:uid="{C6F13F7B-223E-4AF0-B255-1F2548B3AC52}" name="Advance Status" dataDxfId="1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70AA3FD-BBB0-4C17-ADB9-23BA8D76D98E}" name="Group_G_Standings" displayName="Group_G_Standings" ref="O2:Z6" totalsRowShown="0" headerRowDxfId="121" dataDxfId="120">
  <autoFilter ref="O2:Z6" xr:uid="{370AA3FD-BBB0-4C17-ADB9-23BA8D76D98E}"/>
  <tableColumns count="12">
    <tableColumn id="1" xr3:uid="{149260DE-710C-4763-B7E9-F49F9F3D52FA}" name="Team" dataDxfId="119"/>
    <tableColumn id="2" xr3:uid="{189C704A-FB21-406B-AE38-E1B8FCF3E168}" name="Pld" dataDxfId="118"/>
    <tableColumn id="3" xr3:uid="{555AA81A-4F62-4E91-89FE-E7921FE58172}" name="W" dataDxfId="117"/>
    <tableColumn id="4" xr3:uid="{B8AF9D46-D948-4209-B22F-882768385804}" name="D" dataDxfId="116"/>
    <tableColumn id="5" xr3:uid="{0B173320-2D11-4877-8113-2930C2F719E9}" name="L" dataDxfId="115"/>
    <tableColumn id="6" xr3:uid="{85B0905C-62DD-4A32-A154-CA2DFC06B297}" name="GF" dataDxfId="114"/>
    <tableColumn id="7" xr3:uid="{424D2779-0D0E-4C75-83A0-5AD8F2E79712}" name="GA" dataDxfId="113"/>
    <tableColumn id="8" xr3:uid="{648AFB16-28C8-4C26-9D9A-EBCA07B53AB1}" name="GD" dataDxfId="112"/>
    <tableColumn id="9" xr3:uid="{BBFB64A3-031C-43A4-BDCF-3DBAEBBD0010}" name="Pts" dataDxfId="111"/>
    <tableColumn id="10" xr3:uid="{E5C9D2AD-E07F-4467-9DCD-32AD90012E81}" name="Rank" dataDxfId="110"/>
    <tableColumn id="11" xr3:uid="{408BBE30-559B-4CB2-A156-FFBA9B625C6C}" name="Position" dataDxfId="109"/>
    <tableColumn id="12" xr3:uid="{62D979A0-164B-4368-AEBE-E17E8CC5842B}" name="Advance Statu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CCC158B-16ED-4AE7-B3D8-E34BAE81684E}" name="Group_H_Standings" displayName="Group_H_Standings" ref="O9:Z13" totalsRowShown="0" headerRowDxfId="107" dataDxfId="106">
  <autoFilter ref="O9:Z13" xr:uid="{BCCC158B-16ED-4AE7-B3D8-E34BAE81684E}"/>
  <tableColumns count="12">
    <tableColumn id="1" xr3:uid="{B8BD06CE-CB5E-4798-AE95-3806A9FEFBF6}" name="Team" dataDxfId="105"/>
    <tableColumn id="2" xr3:uid="{DE974755-A138-4B09-BCA3-DABCDE4FD162}" name="Pld" dataDxfId="104"/>
    <tableColumn id="3" xr3:uid="{13FB619A-1220-47AA-99EF-6BC85EC508A7}" name="W" dataDxfId="103"/>
    <tableColumn id="4" xr3:uid="{228D8DF1-EF7B-4AB4-A77C-A140074C6D55}" name="D" dataDxfId="102"/>
    <tableColumn id="5" xr3:uid="{49A22040-B8F7-48F2-985C-92654825A662}" name="L" dataDxfId="101"/>
    <tableColumn id="6" xr3:uid="{6BA9AE65-08D6-4CED-AEF0-3A4CC1B07E5F}" name="GF" dataDxfId="100"/>
    <tableColumn id="7" xr3:uid="{0009B4A1-F345-475A-9AFD-1F7BE3544986}" name="GA" dataDxfId="99"/>
    <tableColumn id="8" xr3:uid="{359D982C-4EE2-490F-A395-60AB8875324F}" name="GD" dataDxfId="98"/>
    <tableColumn id="9" xr3:uid="{4B8A4932-9897-46B9-9DD9-CAE35A33208D}" name="Pts" dataDxfId="97"/>
    <tableColumn id="10" xr3:uid="{CEC0FCAB-6193-4838-969D-5673446D9D8C}" name="Rank" dataDxfId="96"/>
    <tableColumn id="11" xr3:uid="{AB2D5DA2-E712-4AE6-BB9B-28FAC7AD0192}" name="Position" dataDxfId="95"/>
    <tableColumn id="12" xr3:uid="{5ACF72AD-59BA-4558-8CA4-B59E6BEC47C1}" name="Advance Status" dataDxfId="9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9B26341-EB96-45F4-8534-5F8ABA7991D7}" name="Group_I_Standings" displayName="Group_I_Standings" ref="O16:Z20" totalsRowShown="0" headerRowDxfId="93" dataDxfId="92">
  <autoFilter ref="O16:Z20" xr:uid="{49B26341-EB96-45F4-8534-5F8ABA7991D7}"/>
  <tableColumns count="12">
    <tableColumn id="1" xr3:uid="{8412C258-5F74-4BBB-B82E-B041118A2EA0}" name="Team" dataDxfId="91"/>
    <tableColumn id="2" xr3:uid="{A77597A9-4D40-4D51-B7D3-031C545E4420}" name="Pld" dataDxfId="90"/>
    <tableColumn id="3" xr3:uid="{7EA29F27-9795-40D3-BE09-4EA12C2113B9}" name="W" dataDxfId="89"/>
    <tableColumn id="4" xr3:uid="{8BE60619-A503-4670-B7D6-80912A94CABE}" name="D" dataDxfId="88"/>
    <tableColumn id="5" xr3:uid="{4373E51E-9494-4741-AA89-00F9C821B8E4}" name="L" dataDxfId="87"/>
    <tableColumn id="6" xr3:uid="{186073EA-738E-487E-983C-AED40BC2001E}" name="GF" dataDxfId="86"/>
    <tableColumn id="7" xr3:uid="{BC2EBD0A-407D-47D7-96AA-744872821E22}" name="GA" dataDxfId="85"/>
    <tableColumn id="8" xr3:uid="{E031D851-BAB0-487B-9C06-4C88F515DB58}" name="GD" dataDxfId="84"/>
    <tableColumn id="9" xr3:uid="{27555AD3-DF53-495B-BD10-9F0536376725}" name="Pts" dataDxfId="83"/>
    <tableColumn id="10" xr3:uid="{035BDE2F-4A1A-44DC-A7BA-AF858540996A}" name="Rank" dataDxfId="82"/>
    <tableColumn id="11" xr3:uid="{D991BA40-B3F6-45F7-9A30-BE133B8CB122}" name="Position" dataDxfId="81"/>
    <tableColumn id="12" xr3:uid="{1935679D-5C25-4458-9995-94F974E5F3D4}" name="Advance Status" dataDxfId="8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192625-DD1D-48E5-A8CF-E1B95B2DB069}" name="Group_J_Standings" displayName="Group_J_Standings" ref="O23:Z27" totalsRowShown="0" headerRowDxfId="79" dataDxfId="78">
  <autoFilter ref="O23:Z27" xr:uid="{E2192625-DD1D-48E5-A8CF-E1B95B2DB069}"/>
  <tableColumns count="12">
    <tableColumn id="1" xr3:uid="{D8A5E557-F6B4-4487-AFEF-442876D577F2}" name="Team" dataDxfId="77"/>
    <tableColumn id="2" xr3:uid="{3545DFA2-14FE-4098-9F49-3DB531DA3E89}" name="Pld" dataDxfId="76"/>
    <tableColumn id="3" xr3:uid="{5F6A659A-4D7E-4631-AD77-1AE5CBE11283}" name="W" dataDxfId="75"/>
    <tableColumn id="4" xr3:uid="{023D0804-8C30-4D16-B74A-BBD918F629FE}" name="D" dataDxfId="74"/>
    <tableColumn id="5" xr3:uid="{8D987950-9A77-46D1-960A-C3EF89F7F3FF}" name="L" dataDxfId="73"/>
    <tableColumn id="6" xr3:uid="{D463D7F5-9B90-4A52-BA46-933C0AA6397B}" name="GF" dataDxfId="72"/>
    <tableColumn id="7" xr3:uid="{0A901873-3B43-444D-A145-0F443ED4553E}" name="GA" dataDxfId="71"/>
    <tableColumn id="8" xr3:uid="{C1A91AB8-EE11-41C3-B9D0-5851AF2BFEFF}" name="GD" dataDxfId="70"/>
    <tableColumn id="9" xr3:uid="{CC179EB0-441F-4E84-A077-998C42DF9769}" name="Pts" dataDxfId="69"/>
    <tableColumn id="10" xr3:uid="{D39D95A1-80BC-428D-84DE-4C07A26CA87F}" name="Rank" dataDxfId="68"/>
    <tableColumn id="11" xr3:uid="{28CE31B8-5FEE-430C-A33E-390F7266D45E}" name="Position" dataDxfId="67"/>
    <tableColumn id="12" xr3:uid="{0B0897CB-E47D-46E7-92F5-5B0B8E26C590}" name="Advance Status" dataDxfId="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F2EED50-B045-48B8-8B74-1DD4195B1D12}" name="Group_K_Standings" displayName="Group_K_Standings" ref="O30:Z34" totalsRowShown="0" headerRowDxfId="65" dataDxfId="64">
  <autoFilter ref="O30:Z34" xr:uid="{9F2EED50-B045-48B8-8B74-1DD4195B1D12}"/>
  <tableColumns count="12">
    <tableColumn id="1" xr3:uid="{10169AC9-0CD0-49AD-AD34-2085A43B56AC}" name="Team" dataDxfId="63"/>
    <tableColumn id="2" xr3:uid="{643E58F3-5EAC-4524-8834-4EF677703C9B}" name="Pld" dataDxfId="62"/>
    <tableColumn id="3" xr3:uid="{29CCFE58-AA02-4D1E-A443-4E2797259308}" name="W" dataDxfId="61"/>
    <tableColumn id="4" xr3:uid="{253E98E4-EAF0-49F8-8CDE-881DA6398780}" name="D" dataDxfId="60"/>
    <tableColumn id="5" xr3:uid="{2F365CA6-2972-4AFF-BC99-5136B21AE71D}" name="L" dataDxfId="59"/>
    <tableColumn id="6" xr3:uid="{08474DD1-C291-4ED1-90C7-087F9E62F770}" name="GF" dataDxfId="58"/>
    <tableColumn id="7" xr3:uid="{BE535229-A6F9-4ECD-AF30-5F44F112FB0C}" name="GA" dataDxfId="57"/>
    <tableColumn id="8" xr3:uid="{4F9A7164-C47A-47FB-9608-514570009D7D}" name="GD" dataDxfId="56"/>
    <tableColumn id="9" xr3:uid="{C8E8F5E1-4498-409B-9787-41F556561BC6}" name="Pts" dataDxfId="55"/>
    <tableColumn id="10" xr3:uid="{DDCA3AC3-0689-4FFB-A5BE-B393ACF6CE08}" name="Rank" dataDxfId="54"/>
    <tableColumn id="11" xr3:uid="{58933678-B614-4CE6-ABED-98CAE412E8EB}" name="Position" dataDxfId="53"/>
    <tableColumn id="12" xr3:uid="{DE72CECD-569A-4BDD-80A1-4FAE391D197C}" name="Advance Status" dataDxfId="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FF9A462-D173-4CB4-A6A8-CC1E23C8D142}" name="Group_L_Standings" displayName="Group_L_Standings" ref="O37:Z41" totalsRowShown="0" headerRowDxfId="51" dataDxfId="50">
  <autoFilter ref="O37:Z41" xr:uid="{CFF9A462-D173-4CB4-A6A8-CC1E23C8D142}"/>
  <tableColumns count="12">
    <tableColumn id="1" xr3:uid="{029D7905-2D85-46C4-9E7A-40948E96C472}" name="Team" dataDxfId="49"/>
    <tableColumn id="2" xr3:uid="{9FF82BE0-CCF9-412D-A5C3-042DD0A1C5E7}" name="Pld" dataDxfId="48"/>
    <tableColumn id="3" xr3:uid="{F9D8B735-19B8-42BE-B2F3-76D3BE473861}" name="W" dataDxfId="47"/>
    <tableColumn id="4" xr3:uid="{1440C5E2-7A87-4222-9E12-53990611997E}" name="D" dataDxfId="46"/>
    <tableColumn id="5" xr3:uid="{BBD7D149-52BD-4E70-A0C8-51559270A92C}" name="L" dataDxfId="45"/>
    <tableColumn id="6" xr3:uid="{E2ACE346-771A-4712-B9DC-F863B204ED4A}" name="GF" dataDxfId="44"/>
    <tableColumn id="7" xr3:uid="{E0BA9312-AA2E-441A-B1EB-377CBA702598}" name="GA" dataDxfId="43"/>
    <tableColumn id="8" xr3:uid="{F60FD060-A47F-4A0D-8A3B-9909BC772849}" name="GD" dataDxfId="42"/>
    <tableColumn id="9" xr3:uid="{3AAC392B-545F-47C6-8920-4B61C6DB0CA6}" name="Pts" dataDxfId="41"/>
    <tableColumn id="10" xr3:uid="{7DEAFA32-2E8E-4C1E-A61B-65B4E0EBACCC}" name="Rank" dataDxfId="40"/>
    <tableColumn id="11" xr3:uid="{97F808FF-C247-45A1-A88E-7CF4CB8015D5}" name="Position" dataDxfId="39"/>
    <tableColumn id="12" xr3:uid="{3A22B07D-2510-4AD5-BA6B-E71B2D8FF56A}" name="Advance Status" dataDxfId="3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4A1CD62-49CB-4ABF-93DC-DD962AAC3CAE}" name="ThirdPlaceRanking" displayName="ThirdPlaceRanking" ref="AC2:AI14" totalsRowShown="0" headerRowDxfId="37" dataDxfId="36">
  <autoFilter ref="AC2:AI14" xr:uid="{34A1CD62-49CB-4ABF-93DC-DD962AAC3CAE}"/>
  <tableColumns count="7">
    <tableColumn id="1" xr3:uid="{4D2DD6BF-B6F9-4B2F-B734-6A81F89A80CF}" name="Rank" dataDxfId="35">
      <calculatedColumnFormula>'Standings Data'!O2</calculatedColumnFormula>
    </tableColumn>
    <tableColumn id="2" xr3:uid="{7C4718BF-77AA-4413-8C24-748BBA68C669}" name="Team" dataDxfId="34">
      <calculatedColumnFormula>'Standings Data'!P2</calculatedColumnFormula>
    </tableColumn>
    <tableColumn id="3" xr3:uid="{46F6BBF8-60EB-41AF-8CB6-9606CBCCDAF3}" name="Group" dataDxfId="33">
      <calculatedColumnFormula>'Standings Data'!Q2</calculatedColumnFormula>
    </tableColumn>
    <tableColumn id="4" xr3:uid="{53DC55F9-F51C-4DF2-AB92-D5FDF6C9301D}" name="Pts" dataDxfId="32">
      <calculatedColumnFormula>'Standings Data'!R2</calculatedColumnFormula>
    </tableColumn>
    <tableColumn id="5" xr3:uid="{04021290-AAFE-42D0-A2BD-E0F78A6A961E}" name="GD" dataDxfId="31">
      <calculatedColumnFormula>'Standings Data'!S2</calculatedColumnFormula>
    </tableColumn>
    <tableColumn id="6" xr3:uid="{371C2BB3-C3ED-41CB-9C47-CFB62CF4A192}" name="GF" dataDxfId="30">
      <calculatedColumnFormula>'Standings Data'!T2</calculatedColumnFormula>
    </tableColumn>
    <tableColumn id="7" xr3:uid="{36E6C13C-016B-4DC8-93A5-AE8D2EA38B67}" name="Status" dataDxfId="29">
      <calculatedColumnFormula>'Standings Data'!U2</calculatedColumnFormula>
    </tableColumn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B3657F2-B26A-440E-BF9F-FD31331B3C59}" name="Matches" displayName="Matches" ref="A1:L73" totalsRowShown="0" headerRowDxfId="28" dataDxfId="27">
  <autoFilter ref="A1:L73" xr:uid="{9B3657F2-B26A-440E-BF9F-FD31331B3C59}"/>
  <tableColumns count="12">
    <tableColumn id="1" xr3:uid="{0B9BA36D-7EAA-4700-8266-1DD07A499E66}" name="Match #" dataDxfId="26"/>
    <tableColumn id="2" xr3:uid="{AB3B0B41-E8BB-42F2-9C3E-02F1AD815A43}" name="Date" dataDxfId="25"/>
    <tableColumn id="3" xr3:uid="{F3287DF4-807D-468C-8578-DAB770583F16}" name="Stage" dataDxfId="24"/>
    <tableColumn id="4" xr3:uid="{B845BC1E-E0A1-484B-8373-873940F73710}" name="Group" dataDxfId="23"/>
    <tableColumn id="5" xr3:uid="{96527628-28B0-456D-87E5-63F7F8ACEA71}" name="Team 1" dataDxfId="22"/>
    <tableColumn id="6" xr3:uid="{F7741BDA-49DC-4A9F-BA80-3B978C3F51C8}" name="Team 2" dataDxfId="21"/>
    <tableColumn id="7" xr3:uid="{558F9835-A31F-46E3-806C-F7D99AA9DCD1}" name="Team 1 Goals" dataDxfId="20"/>
    <tableColumn id="8" xr3:uid="{A9FE52BF-97F4-42E1-B084-19AECE9D1743}" name="Team 2 Goals" dataDxfId="19"/>
    <tableColumn id="9" xr3:uid="{70C841D1-8436-4CDD-AE5D-D9C12E9F4D22}" name="Played?" dataDxfId="18">
      <calculatedColumnFormula>AND(ISNUMBER(Matches[[#This Row],[Team 1 Goals]]),ISNUMBER(Matches[[#This Row],[Team 2 Goals]]))</calculatedColumnFormula>
    </tableColumn>
    <tableColumn id="10" xr3:uid="{C7249891-B7C5-4E7D-AB11-82E15BAE224E}" name="Winner" dataDxfId="17">
      <calculatedColumnFormula>IF(NOT(Matches[[#This Row],[Played?]]),"",IF(Matches[[#This Row],[Team 1 Goals]]&gt;Matches[[#This Row],[Team 2 Goals]],Matches[[#This Row],[Team 1]],IF(Matches[[#This Row],[Team 2 Goals]]&gt;Matches[[#This Row],[Team 1 Goals]],Matches[[#This Row],[Team 2]],"Draw")))</calculatedColumnFormula>
    </tableColumn>
    <tableColumn id="11" xr3:uid="{F6FD1E00-AD40-48D1-8947-B27FA21E5585}" name="Venue" dataDxfId="16"/>
    <tableColumn id="12" xr3:uid="{E86112C2-0B4A-4911-8947-969EF4660F55}" name="Notes" dataDxfId="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6DB393-A033-4380-9109-0967ED38C60D}" name="Standings" displayName="Standings" ref="A1:M49" totalsRowShown="0" headerRowDxfId="14" dataDxfId="13">
  <autoFilter ref="A1:M49" xr:uid="{7C6DB393-A033-4380-9109-0967ED38C60D}">
    <filterColumn colId="12">
      <customFilters>
        <customFilter operator="notEqual" val=" "/>
      </customFilters>
    </filterColumn>
  </autoFilter>
  <tableColumns count="13">
    <tableColumn id="1" xr3:uid="{BB4B5DE5-F24B-43C4-A109-665C68C85E8C}" name="Group" dataDxfId="12"/>
    <tableColumn id="2" xr3:uid="{D275F048-FFB1-48A1-AE50-DC480868D320}" name="Team" dataDxfId="11"/>
    <tableColumn id="3" xr3:uid="{9B8B89BD-14DF-4DB0-BDA7-30C8D8E19450}" name="Pld" dataDxfId="10">
      <calculatedColumnFormula>COUNTIFS(Matches!$D$2:$D$73,A2,Matches!$E$2:$E$73,B2,Matches!$I$2:$I$73,TRUE)+COUNTIFS(Matches!$D$2:$D$73,A2,Matches!$F$2:$F$73,B2,Matches!$I$2:$I$73,TRUE)</calculatedColumnFormula>
    </tableColumn>
    <tableColumn id="4" xr3:uid="{C71A844C-F481-4AA9-B8AD-C84654C357B4}" name="W" dataDxfId="9">
      <calculatedColumnFormula array="1">SUMPRODUCT((Matches!$D$2:$D$73=A2)*(Matches!$I$2:$I$73=TRUE)*(((Matches!$E$2:$E$73=B2)*(Matches!$G$2:$G$73&gt;Matches!$H$2:$H$73))+((Matches!$F$2:$F$73=B2)*(Matches!$H$2:$H$73&gt;Matches!$G$2:$G$73))))</calculatedColumnFormula>
    </tableColumn>
    <tableColumn id="5" xr3:uid="{1913BE27-B174-4367-8ED8-08B4237CDA8C}" name="D" dataDxfId="8">
      <calculatedColumnFormula array="1">SUMPRODUCT((Matches!$D$2:$D$73=A2)*(Matches!$I$2:$I$73=TRUE)*((Matches!$E$2:$E$73=B2)+(Matches!$F$2:$F$73=B2))*(Matches!$G$2:$G$73=Matches!$H$2:$H$73))</calculatedColumnFormula>
    </tableColumn>
    <tableColumn id="6" xr3:uid="{ED5D3FB0-0443-4EEF-9BC4-A5C52E4331BA}" name="L" dataDxfId="7">
      <calculatedColumnFormula>C2-D2-E2</calculatedColumnFormula>
    </tableColumn>
    <tableColumn id="7" xr3:uid="{BA68821B-B299-4ABA-86A9-6FC057A25C47}" name="GF" dataDxfId="6">
      <calculatedColumnFormula>SUMIFS(Matches!$G$2:$G$73,Matches!$D$2:$D$73,A2,Matches!$E$2:$E$73,B2)+SUMIFS(Matches!$H$2:$H$73,Matches!$D$2:$D$73,A2,Matches!$F$2:$F$73,B2)</calculatedColumnFormula>
    </tableColumn>
    <tableColumn id="8" xr3:uid="{484BC7D2-460B-4BD4-A7CF-45CDE363ADFE}" name="GA" dataDxfId="5">
      <calculatedColumnFormula>SUMIFS(Matches!$H$2:$H$73,Matches!$D$2:$D$73,A2,Matches!$E$2:$E$73,B2)+SUMIFS(Matches!$G$2:$G$73,Matches!$D$2:$D$73,A2,Matches!$F$2:$F$73,B2)</calculatedColumnFormula>
    </tableColumn>
    <tableColumn id="9" xr3:uid="{D66B16AA-DDE6-4FD8-A600-3BA143A0B570}" name="GD" dataDxfId="4">
      <calculatedColumnFormula>G2-H2</calculatedColumnFormula>
    </tableColumn>
    <tableColumn id="10" xr3:uid="{8B16C945-EB30-4FA8-A15A-3BF3540CA9E0}" name="Pts" dataDxfId="3">
      <calculatedColumnFormula>D2*3+E2</calculatedColumnFormula>
    </tableColumn>
    <tableColumn id="11" xr3:uid="{8EC92E4D-0044-4E90-9493-807F5B30937C}" name="Rank" dataDxfId="2">
      <calculatedColumnFormula array="1">1+SUMPRODUCT(($A$2:$A$49=A2)*(($J$2:$J$49&gt;J2)+(($J$2:$J$49=J2)*($I$2:$I$49&gt;I2))+(($J$2:$J$49=J2)*($I$2:$I$49=I2)*($G$2:$G$49&gt;G2))))</calculatedColumnFormula>
    </tableColumn>
    <tableColumn id="12" xr3:uid="{C711591D-A066-43CC-82C2-FECE0F0D588E}" name="Position" dataDxfId="1">
      <calculatedColumnFormula>A2&amp;K2</calculatedColumnFormula>
    </tableColumn>
    <tableColumn id="13" xr3:uid="{3967E3FD-E8CF-4CDE-AEE4-EE2904DFE32C}" name="Advance Status" dataDxfId="0">
      <calculatedColumnFormula>IF(K2&lt;=2,"Qualified",IF(K2=3,"Third-place pool",""))</calculatedColumnFormula>
    </tableColumn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F18D042-5B0E-4765-8AB8-6F7CA1124D11}" name="Knockout_Round_of_32" displayName="Knockout_Round_of_32" ref="A2:L18" totalsRowShown="0" headerRowDxfId="289" dataDxfId="288">
  <autoFilter ref="A2:L18" xr:uid="{1F18D042-5B0E-4765-8AB8-6F7CA1124D11}"/>
  <tableColumns count="12">
    <tableColumn id="1" xr3:uid="{09F39E43-0551-4C3A-8770-A53D5F72D57A}" name="Match #" dataDxfId="287">
      <calculatedColumnFormula>'Knockout Data'!A2</calculatedColumnFormula>
    </tableColumn>
    <tableColumn id="2" xr3:uid="{5DD47AA3-4D05-4E10-A12E-8839E7A8716D}" name="Date" dataDxfId="286">
      <calculatedColumnFormula>'Knockout Data'!B2</calculatedColumnFormula>
    </tableColumn>
    <tableColumn id="3" xr3:uid="{69467D96-07AA-486D-982B-B070C4E43256}" name="Stage" dataDxfId="285">
      <calculatedColumnFormula>'Knockout Data'!C2</calculatedColumnFormula>
    </tableColumn>
    <tableColumn id="4" xr3:uid="{2B3FC2CA-823A-44F2-8218-E2408BB23B53}" name="Team 1 Source" dataDxfId="284">
      <calculatedColumnFormula>'Knockout Data'!D2</calculatedColumnFormula>
    </tableColumn>
    <tableColumn id="5" xr3:uid="{1B001C0D-9A32-416D-B697-012F53E5D9CB}" name="Team 2 Source" dataDxfId="283">
      <calculatedColumnFormula>'Knockout Data'!E2</calculatedColumnFormula>
    </tableColumn>
    <tableColumn id="6" xr3:uid="{F6E4DA6C-1859-44E0-92EC-2E0480855F6B}" name="Team 1" dataDxfId="282">
      <calculatedColumnFormula>'Knockout Data'!F2</calculatedColumnFormula>
    </tableColumn>
    <tableColumn id="7" xr3:uid="{7DE49EF1-90DC-4147-8158-F3C79DC1070F}" name="Team 2" dataDxfId="281">
      <calculatedColumnFormula>'Knockout Data'!G2</calculatedColumnFormula>
    </tableColumn>
    <tableColumn id="8" xr3:uid="{4D212807-982D-4332-98CE-9AE46F0505A7}" name="Team 1 Goals" dataDxfId="280"/>
    <tableColumn id="9" xr3:uid="{90CF749D-0F47-4AD4-92E5-B60C130A2DDE}" name="Team 2 Goals" dataDxfId="279"/>
    <tableColumn id="10" xr3:uid="{CF9FB21F-6F7B-4A8C-B7BD-C54144E18E51}" name="Winner" dataDxfId="278">
      <calculatedColumnFormula>'Knockout Data'!J2</calculatedColumnFormula>
    </tableColumn>
    <tableColumn id="11" xr3:uid="{2850CE9A-A648-4795-B3B5-F6B988901B2D}" name="Venue" dataDxfId="277">
      <calculatedColumnFormula>'Knockout Data'!K2</calculatedColumnFormula>
    </tableColumn>
    <tableColumn id="12" xr3:uid="{83B609D3-D449-4E21-9EE4-3603D644643C}" name="Notes" dataDxfId="276">
      <calculatedColumnFormula>'Knockout Data'!L2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424D385-25CC-4AB6-8520-3DAD2D4D341C}" name="Knockout_Round_of_16" displayName="Knockout_Round_of_16" ref="A21:L29" totalsRowShown="0" headerRowDxfId="275" dataDxfId="274">
  <autoFilter ref="A21:L29" xr:uid="{1424D385-25CC-4AB6-8520-3DAD2D4D341C}"/>
  <tableColumns count="12">
    <tableColumn id="1" xr3:uid="{46BDDE0C-36AB-4345-A929-CEC1FD958189}" name="Match #" dataDxfId="273">
      <calculatedColumnFormula>'Knockout Data'!A18</calculatedColumnFormula>
    </tableColumn>
    <tableColumn id="2" xr3:uid="{0C273F91-9FB0-41BC-9EE2-99B6DBB33257}" name="Date" dataDxfId="272">
      <calculatedColumnFormula>'Knockout Data'!B18</calculatedColumnFormula>
    </tableColumn>
    <tableColumn id="3" xr3:uid="{A9AB4641-8EE2-46C9-BEF4-D90FB6E08409}" name="Stage" dataDxfId="271">
      <calculatedColumnFormula>'Knockout Data'!C18</calculatedColumnFormula>
    </tableColumn>
    <tableColumn id="4" xr3:uid="{4D2C82D6-44F7-4E16-AE93-1A4E3171BA8E}" name="Team 1 Source" dataDxfId="270">
      <calculatedColumnFormula>'Knockout Data'!D18</calculatedColumnFormula>
    </tableColumn>
    <tableColumn id="5" xr3:uid="{733AD658-19F9-469C-A2CB-9D4A8AB4E8FF}" name="Team 2 Source" dataDxfId="269">
      <calculatedColumnFormula>'Knockout Data'!E18</calculatedColumnFormula>
    </tableColumn>
    <tableColumn id="6" xr3:uid="{BBE9D267-063F-448F-841A-8CAE126F926A}" name="Team 1" dataDxfId="268">
      <calculatedColumnFormula>'Knockout Data'!F18</calculatedColumnFormula>
    </tableColumn>
    <tableColumn id="7" xr3:uid="{80F90340-636E-41FA-A813-B13CE5C46D8A}" name="Team 2" dataDxfId="267">
      <calculatedColumnFormula>'Knockout Data'!G18</calculatedColumnFormula>
    </tableColumn>
    <tableColumn id="8" xr3:uid="{90180B2B-540E-412B-9361-7D862A4A946E}" name="Team 1 Goals" dataDxfId="266"/>
    <tableColumn id="9" xr3:uid="{68148028-445B-4C1C-BD06-9E62113EAF86}" name="Team 2 Goals" dataDxfId="265"/>
    <tableColumn id="10" xr3:uid="{B77E5F49-9826-4B7E-91CE-D6E2B2D9C531}" name="Winner" dataDxfId="264">
      <calculatedColumnFormula>'Knockout Data'!J18</calculatedColumnFormula>
    </tableColumn>
    <tableColumn id="11" xr3:uid="{461AFCC9-A1A3-491C-85A8-A5F51804C68D}" name="Venue" dataDxfId="263">
      <calculatedColumnFormula>'Knockout Data'!K18</calculatedColumnFormula>
    </tableColumn>
    <tableColumn id="12" xr3:uid="{D636FA4C-E613-4D3C-86A3-CA919DF5E886}" name="Notes" dataDxfId="262">
      <calculatedColumnFormula>'Knockout Data'!L18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01094EB-9588-4E9F-8F13-AAACE5BFAFAA}" name="Knockout_Quarter_Final" displayName="Knockout_Quarter_Final" ref="A32:L36" totalsRowShown="0" headerRowDxfId="261" dataDxfId="260">
  <autoFilter ref="A32:L36" xr:uid="{101094EB-9588-4E9F-8F13-AAACE5BFAFAA}"/>
  <tableColumns count="12">
    <tableColumn id="1" xr3:uid="{B3B2378A-6EDC-423D-A640-0B94795CCFF0}" name="Match #" dataDxfId="259">
      <calculatedColumnFormula>'Knockout Data'!A26</calculatedColumnFormula>
    </tableColumn>
    <tableColumn id="2" xr3:uid="{CBF69628-B050-45A8-B353-8F0208028F20}" name="Date" dataDxfId="258">
      <calculatedColumnFormula>'Knockout Data'!B26</calculatedColumnFormula>
    </tableColumn>
    <tableColumn id="3" xr3:uid="{A868A30D-0BEF-467E-ABC4-1E80D87840BB}" name="Stage" dataDxfId="257">
      <calculatedColumnFormula>'Knockout Data'!C26</calculatedColumnFormula>
    </tableColumn>
    <tableColumn id="4" xr3:uid="{A608351C-947E-472A-AE9A-33C4316D5D39}" name="Team 1 Source" dataDxfId="256">
      <calculatedColumnFormula>'Knockout Data'!D26</calculatedColumnFormula>
    </tableColumn>
    <tableColumn id="5" xr3:uid="{60D4BC25-A413-4B51-9C6B-087D3ECD8A3F}" name="Team 2 Source" dataDxfId="255">
      <calculatedColumnFormula>'Knockout Data'!E26</calculatedColumnFormula>
    </tableColumn>
    <tableColumn id="6" xr3:uid="{C6EB07A4-B533-4ECF-A05B-6949AA8BA0A1}" name="Team 1" dataDxfId="254">
      <calculatedColumnFormula>'Knockout Data'!F26</calculatedColumnFormula>
    </tableColumn>
    <tableColumn id="7" xr3:uid="{56357F96-0EBA-4F83-9132-A2B5921DCAA1}" name="Team 2" dataDxfId="253">
      <calculatedColumnFormula>'Knockout Data'!G26</calculatedColumnFormula>
    </tableColumn>
    <tableColumn id="8" xr3:uid="{6FA3BA5A-5963-479C-BD09-F4413F954957}" name="Team 1 Goals" dataDxfId="252"/>
    <tableColumn id="9" xr3:uid="{77D24675-4F69-4F2F-90D6-6606B5838033}" name="Team 2 Goals" dataDxfId="251"/>
    <tableColumn id="10" xr3:uid="{838C3938-8CF9-43C3-A9D8-85738180F1F3}" name="Winner" dataDxfId="250">
      <calculatedColumnFormula>'Knockout Data'!J26</calculatedColumnFormula>
    </tableColumn>
    <tableColumn id="11" xr3:uid="{81FF9FD5-C0FE-4EE3-A0E8-367F56A9CA1C}" name="Venue" dataDxfId="249">
      <calculatedColumnFormula>'Knockout Data'!K26</calculatedColumnFormula>
    </tableColumn>
    <tableColumn id="12" xr3:uid="{D92DA5AD-32E3-43C0-9D55-0CBA4870C1F3}" name="Notes" dataDxfId="248">
      <calculatedColumnFormula>'Knockout Data'!L26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42F60D1-A996-484E-9546-04A70758C601}" name="Knockout_Semi_Final" displayName="Knockout_Semi_Final" ref="A39:L41" totalsRowShown="0" headerRowDxfId="247" dataDxfId="246">
  <autoFilter ref="A39:L41" xr:uid="{842F60D1-A996-484E-9546-04A70758C601}"/>
  <tableColumns count="12">
    <tableColumn id="1" xr3:uid="{8FE2D451-1E72-4CD4-B22E-5FA02771F2F2}" name="Match #" dataDxfId="245">
      <calculatedColumnFormula>'Knockout Data'!A30</calculatedColumnFormula>
    </tableColumn>
    <tableColumn id="2" xr3:uid="{A53C523E-4AEC-4B93-92E9-1AB307B1913E}" name="Date" dataDxfId="244">
      <calculatedColumnFormula>'Knockout Data'!B30</calculatedColumnFormula>
    </tableColumn>
    <tableColumn id="3" xr3:uid="{755B5857-8E57-462A-A70D-A03AFB733F48}" name="Stage" dataDxfId="243">
      <calculatedColumnFormula>'Knockout Data'!C30</calculatedColumnFormula>
    </tableColumn>
    <tableColumn id="4" xr3:uid="{3DDD7304-F3BE-433B-9C42-FD110E880305}" name="Team 1 Source" dataDxfId="242">
      <calculatedColumnFormula>'Knockout Data'!D30</calculatedColumnFormula>
    </tableColumn>
    <tableColumn id="5" xr3:uid="{5C48DDFE-C550-48C3-957B-CCD9934131DE}" name="Team 2 Source" dataDxfId="241">
      <calculatedColumnFormula>'Knockout Data'!E30</calculatedColumnFormula>
    </tableColumn>
    <tableColumn id="6" xr3:uid="{695FF2C7-C27F-45CF-947B-EA4A0AB89850}" name="Team 1" dataDxfId="240">
      <calculatedColumnFormula>'Knockout Data'!F30</calculatedColumnFormula>
    </tableColumn>
    <tableColumn id="7" xr3:uid="{FA9F5A09-EEC6-425C-BC57-C43FFD9A9859}" name="Team 2" dataDxfId="239">
      <calculatedColumnFormula>'Knockout Data'!G30</calculatedColumnFormula>
    </tableColumn>
    <tableColumn id="8" xr3:uid="{0A1A66BE-B3C5-4825-939E-793EC8284C1D}" name="Team 1 Goals" dataDxfId="238"/>
    <tableColumn id="9" xr3:uid="{534D74EE-6973-4D2A-8C02-24B3DFDF79E6}" name="Team 2 Goals" dataDxfId="237"/>
    <tableColumn id="10" xr3:uid="{FFAE1EFB-8BFB-442C-9B45-24A2062BF490}" name="Winner" dataDxfId="236">
      <calculatedColumnFormula>'Knockout Data'!J30</calculatedColumnFormula>
    </tableColumn>
    <tableColumn id="11" xr3:uid="{EE59B399-D23A-485A-AE84-D4F80CE78472}" name="Venue" dataDxfId="235">
      <calculatedColumnFormula>'Knockout Data'!K30</calculatedColumnFormula>
    </tableColumn>
    <tableColumn id="12" xr3:uid="{BB506557-AC65-42BC-998D-3672FA33C27A}" name="Notes" dataDxfId="234">
      <calculatedColumnFormula>'Knockout Data'!L30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4021F51-D113-416C-98E6-A58F5D83753A}" name="Knockout_Bronze_Final" displayName="Knockout_Bronze_Final" ref="A44:L45" totalsRowShown="0" headerRowDxfId="233" dataDxfId="232">
  <autoFilter ref="A44:L45" xr:uid="{B4021F51-D113-416C-98E6-A58F5D83753A}"/>
  <tableColumns count="12">
    <tableColumn id="1" xr3:uid="{A2C79C85-D244-44C5-987A-E111A0E7E359}" name="Match #" dataDxfId="231">
      <calculatedColumnFormula>'Knockout Data'!A32</calculatedColumnFormula>
    </tableColumn>
    <tableColumn id="2" xr3:uid="{B1D09F79-A41B-42E6-B144-4D409C970F57}" name="Date" dataDxfId="230">
      <calculatedColumnFormula>'Knockout Data'!B32</calculatedColumnFormula>
    </tableColumn>
    <tableColumn id="3" xr3:uid="{8C1E0B13-4C9A-46C8-A30F-D7253C2FD3AE}" name="Stage" dataDxfId="229">
      <calculatedColumnFormula>'Knockout Data'!C32</calculatedColumnFormula>
    </tableColumn>
    <tableColumn id="4" xr3:uid="{2F53A502-DCD6-4C03-A09A-7F378CECD0B6}" name="Team 1 Source" dataDxfId="228">
      <calculatedColumnFormula>'Knockout Data'!D32</calculatedColumnFormula>
    </tableColumn>
    <tableColumn id="5" xr3:uid="{6F2E1A9D-656C-4EB9-B45F-BF5A6120AD57}" name="Team 2 Source" dataDxfId="227">
      <calculatedColumnFormula>'Knockout Data'!E32</calculatedColumnFormula>
    </tableColumn>
    <tableColumn id="6" xr3:uid="{FC31872C-2B49-4541-BF1C-962920F28E2D}" name="Team 1" dataDxfId="226">
      <calculatedColumnFormula>'Knockout Data'!F32</calculatedColumnFormula>
    </tableColumn>
    <tableColumn id="7" xr3:uid="{0D1EF0AA-B0D1-4843-B240-0E617A3C037B}" name="Team 2" dataDxfId="225">
      <calculatedColumnFormula>'Knockout Data'!G32</calculatedColumnFormula>
    </tableColumn>
    <tableColumn id="8" xr3:uid="{C15EFD28-216B-447A-BB13-BE59070A79ED}" name="Team 1 Goals" dataDxfId="224"/>
    <tableColumn id="9" xr3:uid="{B39EB40F-B163-43FD-B4C7-1426F12DF974}" name="Team 2 Goals" dataDxfId="223"/>
    <tableColumn id="10" xr3:uid="{7975D98D-5987-446F-BEB2-5DF8309FF27F}" name="Winner" dataDxfId="222">
      <calculatedColumnFormula>'Knockout Data'!J32</calculatedColumnFormula>
    </tableColumn>
    <tableColumn id="11" xr3:uid="{F1E316DD-7AA3-4BB3-96E4-71134CF93A54}" name="Venue" dataDxfId="221">
      <calculatedColumnFormula>'Knockout Data'!K32</calculatedColumnFormula>
    </tableColumn>
    <tableColumn id="12" xr3:uid="{78D1C0D2-65C8-4931-9C39-05D6CE5723F2}" name="Notes" dataDxfId="220">
      <calculatedColumnFormula>'Knockout Data'!L32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0531E2A-ED69-4EE6-89FC-FA8A5968BBC6}" name="Knockout_Final" displayName="Knockout_Final" ref="A48:L49" totalsRowShown="0" headerRowDxfId="219" dataDxfId="218">
  <autoFilter ref="A48:L49" xr:uid="{20531E2A-ED69-4EE6-89FC-FA8A5968BBC6}"/>
  <tableColumns count="12">
    <tableColumn id="1" xr3:uid="{0773E088-23C1-4FCC-91DC-B9A6C90564A0}" name="Match #" dataDxfId="217">
      <calculatedColumnFormula>'Knockout Data'!A33</calculatedColumnFormula>
    </tableColumn>
    <tableColumn id="2" xr3:uid="{071FE729-5D17-4BBA-8165-585BE12D5B05}" name="Date" dataDxfId="216">
      <calculatedColumnFormula>'Knockout Data'!B33</calculatedColumnFormula>
    </tableColumn>
    <tableColumn id="3" xr3:uid="{905541FC-47F6-4978-959A-EE3FEE0531D9}" name="Stage" dataDxfId="215">
      <calculatedColumnFormula>'Knockout Data'!C33</calculatedColumnFormula>
    </tableColumn>
    <tableColumn id="4" xr3:uid="{08B5F5D0-0093-4FC8-8098-E533A02E48B6}" name="Team 1 Source" dataDxfId="214">
      <calculatedColumnFormula>'Knockout Data'!D33</calculatedColumnFormula>
    </tableColumn>
    <tableColumn id="5" xr3:uid="{8A0565B0-4429-47F2-929D-500C1396F668}" name="Team 2 Source" dataDxfId="213">
      <calculatedColumnFormula>'Knockout Data'!E33</calculatedColumnFormula>
    </tableColumn>
    <tableColumn id="6" xr3:uid="{459928E4-AAA1-4D2D-9B0D-3C682F6276E3}" name="Team 1" dataDxfId="212">
      <calculatedColumnFormula>'Knockout Data'!F33</calculatedColumnFormula>
    </tableColumn>
    <tableColumn id="7" xr3:uid="{F2ECEEF4-2EAD-49AF-8A1B-41E9888C9C3B}" name="Team 2" dataDxfId="211">
      <calculatedColumnFormula>'Knockout Data'!G33</calculatedColumnFormula>
    </tableColumn>
    <tableColumn id="8" xr3:uid="{5061856F-850A-46CF-B3B4-4B5E53BF5C5C}" name="Team 1 Goals" dataDxfId="210"/>
    <tableColumn id="9" xr3:uid="{3F772705-8FA2-4068-8698-DBA7708438BF}" name="Team 2 Goals" dataDxfId="209"/>
    <tableColumn id="10" xr3:uid="{F1713EC2-C55B-4E25-A6C2-154927AC0D55}" name="Winner" dataDxfId="208">
      <calculatedColumnFormula>'Knockout Data'!J33</calculatedColumnFormula>
    </tableColumn>
    <tableColumn id="11" xr3:uid="{27961FAF-FB1B-4A57-A905-099E4F9CAF88}" name="Venue" dataDxfId="207">
      <calculatedColumnFormula>'Knockout Data'!K33</calculatedColumnFormula>
    </tableColumn>
    <tableColumn id="12" xr3:uid="{6A4603F3-BD94-4150-965D-EDA392E0F028}" name="Notes" dataDxfId="206">
      <calculatedColumnFormula>'Knockout Data'!L33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B224FF-9341-4BEF-A8A2-E591BC03798A}" name="Teams" displayName="Teams" ref="A1:B49" totalsRowShown="0">
  <autoFilter ref="A1:B49" xr:uid="{FAB224FF-9341-4BEF-A8A2-E591BC03798A}"/>
  <tableColumns count="2">
    <tableColumn id="1" xr3:uid="{DC7DEA3C-D4FA-4A77-9590-D9F72833EDA2}" name="Group"/>
    <tableColumn id="2" xr3:uid="{6FD96848-2CA0-476D-A907-C31DC2F08D70}" name="Tea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77AB-A3D6-4402-BE0B-E268717D2262}">
  <dimension ref="A1:H40"/>
  <sheetViews>
    <sheetView workbookViewId="0">
      <selection activeCell="B6" sqref="B6"/>
    </sheetView>
  </sheetViews>
  <sheetFormatPr defaultRowHeight="14.5" x14ac:dyDescent="0.35"/>
  <cols>
    <col min="1" max="1" width="21.26953125" bestFit="1" customWidth="1"/>
    <col min="2" max="2" width="26.36328125" bestFit="1" customWidth="1"/>
    <col min="3" max="3" width="6" bestFit="1" customWidth="1"/>
    <col min="4" max="4" width="24.54296875" bestFit="1" customWidth="1"/>
    <col min="5" max="5" width="20.08984375" bestFit="1" customWidth="1"/>
    <col min="6" max="6" width="26.54296875" bestFit="1" customWidth="1"/>
  </cols>
  <sheetData>
    <row r="1" spans="1:8" ht="26" x14ac:dyDescent="0.6">
      <c r="A1" s="45" t="s">
        <v>188</v>
      </c>
      <c r="B1" s="45"/>
      <c r="C1" s="45"/>
      <c r="D1" s="45"/>
      <c r="E1" s="45"/>
      <c r="F1" s="45"/>
      <c r="G1" s="45"/>
      <c r="H1" s="45"/>
    </row>
    <row r="2" spans="1:8" x14ac:dyDescent="0.35">
      <c r="A2" s="46" t="s">
        <v>189</v>
      </c>
      <c r="B2" s="46"/>
      <c r="C2" s="46"/>
      <c r="D2" s="46"/>
      <c r="E2" s="46"/>
      <c r="F2" s="46"/>
      <c r="G2" s="46"/>
      <c r="H2" s="46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 t="s">
        <v>190</v>
      </c>
      <c r="B4" s="1" t="s">
        <v>191</v>
      </c>
      <c r="C4" s="1"/>
      <c r="D4" s="1" t="s">
        <v>197</v>
      </c>
      <c r="E4" s="1">
        <f>COUNTIF(Matches!$I$2:$I$73,TRUE)</f>
        <v>72</v>
      </c>
      <c r="F4" s="1"/>
      <c r="G4" s="1"/>
      <c r="H4" s="1"/>
    </row>
    <row r="5" spans="1:8" x14ac:dyDescent="0.35">
      <c r="A5" s="1" t="s">
        <v>192</v>
      </c>
      <c r="B5" s="1" t="s">
        <v>193</v>
      </c>
      <c r="C5" s="1"/>
      <c r="D5" s="1" t="s">
        <v>198</v>
      </c>
      <c r="E5" s="1">
        <f>72-E4</f>
        <v>0</v>
      </c>
      <c r="F5" s="1"/>
      <c r="G5" s="1"/>
      <c r="H5" s="1"/>
    </row>
    <row r="6" spans="1:8" x14ac:dyDescent="0.35">
      <c r="A6" s="1" t="s">
        <v>3</v>
      </c>
      <c r="B6" s="1">
        <v>48</v>
      </c>
      <c r="C6" s="1"/>
      <c r="D6" s="1" t="s">
        <v>199</v>
      </c>
      <c r="E6" s="2">
        <f>SUM(Matches!$G$2:$H$73)+SUM('Knockout Data'!$H$2:$I$33)</f>
        <v>216</v>
      </c>
      <c r="F6" s="1"/>
      <c r="G6" s="1"/>
      <c r="H6" s="1"/>
    </row>
    <row r="7" spans="1:8" x14ac:dyDescent="0.35">
      <c r="A7" s="1" t="s">
        <v>4</v>
      </c>
      <c r="B7" s="1" t="s">
        <v>194</v>
      </c>
      <c r="C7" s="1"/>
      <c r="D7" s="1" t="s">
        <v>200</v>
      </c>
      <c r="E7" s="1">
        <f>IF(E4=0,"",E6/E4)</f>
        <v>3</v>
      </c>
      <c r="F7" s="1"/>
      <c r="G7" s="1"/>
      <c r="H7" s="1"/>
    </row>
    <row r="8" spans="1:8" x14ac:dyDescent="0.35">
      <c r="A8" s="1" t="s">
        <v>195</v>
      </c>
      <c r="B8" s="1">
        <v>104</v>
      </c>
      <c r="C8" s="1"/>
      <c r="D8" s="1" t="s">
        <v>201</v>
      </c>
      <c r="E8" s="1" cm="1">
        <f t="array" ref="E8">SUMPRODUCT(--('Knockout Data'!$J$2:$J$33&lt;&gt;""))</f>
        <v>1</v>
      </c>
      <c r="F8" s="1"/>
      <c r="G8" s="1"/>
      <c r="H8" s="1"/>
    </row>
    <row r="9" spans="1:8" x14ac:dyDescent="0.35">
      <c r="A9" s="1" t="s">
        <v>6</v>
      </c>
      <c r="B9" s="1" t="s">
        <v>196</v>
      </c>
      <c r="C9" s="1"/>
      <c r="D9" s="1" t="s">
        <v>202</v>
      </c>
      <c r="E9" s="1" t="str">
        <f>IFERROR(_xlfn.XLOOKUP(104,'Knockout Data'!$A$2:$A$33,'Knockout Data'!$J$2:$J$33),"")</f>
        <v/>
      </c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5" t="s">
        <v>203</v>
      </c>
      <c r="B12" s="5"/>
      <c r="C12" s="5"/>
      <c r="D12" s="5"/>
      <c r="E12" s="5"/>
      <c r="F12" s="5"/>
      <c r="G12" s="5"/>
      <c r="H12" s="5"/>
    </row>
    <row r="13" spans="1:8" x14ac:dyDescent="0.35">
      <c r="A13" s="6" t="s">
        <v>75</v>
      </c>
      <c r="B13" s="6" t="s">
        <v>76</v>
      </c>
      <c r="C13" s="6" t="s">
        <v>12</v>
      </c>
      <c r="D13" s="6" t="s">
        <v>77</v>
      </c>
      <c r="E13" s="6" t="s">
        <v>78</v>
      </c>
      <c r="F13" s="6" t="s">
        <v>83</v>
      </c>
      <c r="G13" s="1"/>
      <c r="H13" s="1"/>
    </row>
    <row r="14" spans="1:8" x14ac:dyDescent="0.35">
      <c r="A14" s="1" t="e" cm="1" vm="1">
        <f t="array" ref="A14">_xlfn.TAKE(_xlfn._xlws.FILTER(CHOOSE({1,2,3,4,5,6},Matches!$B$2:$B$73,Matches!$C$2:$C$73,Matches!$D$2:$D$73,Matches!$E$2:$E$73,Matches!$F$2:$F$73,Matches!$K$2:$K$73),Matches!$I$2:$I$73=FALSE),10)</f>
        <v>#VALUE!</v>
      </c>
      <c r="B14" s="1"/>
      <c r="C14" s="1"/>
      <c r="D14" s="1"/>
      <c r="E14" s="1"/>
      <c r="F14" s="1"/>
      <c r="G14" s="1"/>
      <c r="H14" s="1"/>
    </row>
    <row r="15" spans="1:8" x14ac:dyDescent="0.35">
      <c r="A15" s="1"/>
      <c r="B15" s="1"/>
      <c r="C15" s="1"/>
      <c r="D15" s="1"/>
      <c r="E15" s="1"/>
      <c r="F15" s="1"/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1"/>
      <c r="B25" s="1"/>
      <c r="C25" s="1"/>
      <c r="D25" s="1"/>
      <c r="E25" s="1"/>
      <c r="F25" s="1"/>
      <c r="G25" s="1"/>
      <c r="H25" s="1"/>
    </row>
    <row r="26" spans="1:8" x14ac:dyDescent="0.35">
      <c r="A26" s="1"/>
      <c r="B26" s="1"/>
      <c r="C26" s="1"/>
      <c r="D26" s="1"/>
      <c r="E26" s="1"/>
      <c r="F26" s="1"/>
      <c r="G26" s="1"/>
      <c r="H26" s="1"/>
    </row>
    <row r="27" spans="1:8" x14ac:dyDescent="0.35">
      <c r="A27" s="5" t="s">
        <v>204</v>
      </c>
      <c r="B27" s="5"/>
      <c r="C27" s="5"/>
      <c r="D27" s="5"/>
      <c r="E27" s="5"/>
      <c r="F27" s="5"/>
      <c r="G27" s="5"/>
      <c r="H27" s="5"/>
    </row>
    <row r="28" spans="1:8" x14ac:dyDescent="0.35">
      <c r="A28" s="6" t="s">
        <v>12</v>
      </c>
      <c r="B28" s="6" t="s">
        <v>205</v>
      </c>
      <c r="C28" s="6" t="s">
        <v>206</v>
      </c>
      <c r="D28" s="1"/>
      <c r="E28" s="1"/>
      <c r="F28" s="1"/>
      <c r="G28" s="1"/>
      <c r="H28" s="1"/>
    </row>
    <row r="29" spans="1:8" x14ac:dyDescent="0.35">
      <c r="A29" s="1" t="s">
        <v>14</v>
      </c>
      <c r="B29" s="1" t="str" cm="1">
        <f t="array" ref="B29">IFERROR(INDEX(_xlfn._xlws.FILTER('Standings Data'!$B$2:$B$49,('Standings Data'!$A$2:$A$49="A")*('Standings Data'!$K$2:$K$49=1)),1),"")</f>
        <v>Mexico</v>
      </c>
      <c r="C29" s="1">
        <f>IFERROR(_xlfn.XLOOKUP(B29,'Standings Data'!$B$2:$B$49,'Standings Data'!$J$2:$J$49),"")</f>
        <v>9</v>
      </c>
      <c r="D29" s="1"/>
      <c r="E29" s="1"/>
      <c r="F29" s="1"/>
      <c r="G29" s="1"/>
      <c r="H29" s="1"/>
    </row>
    <row r="30" spans="1:8" x14ac:dyDescent="0.35">
      <c r="A30" s="1" t="s">
        <v>19</v>
      </c>
      <c r="B30" s="1" t="str" cm="1">
        <f t="array" ref="B30">IFERROR(INDEX(_xlfn._xlws.FILTER('Standings Data'!$B$2:$B$49,('Standings Data'!$A$2:$A$49="B")*('Standings Data'!$K$2:$K$49=1)),1),"")</f>
        <v>Switzerland</v>
      </c>
      <c r="C30" s="1">
        <f>IFERROR(_xlfn.XLOOKUP(B30,'Standings Data'!$B$2:$B$49,'Standings Data'!$J$2:$J$49),"")</f>
        <v>7</v>
      </c>
      <c r="D30" s="1"/>
      <c r="E30" s="1"/>
      <c r="F30" s="1"/>
      <c r="G30" s="1"/>
      <c r="H30" s="1"/>
    </row>
    <row r="31" spans="1:8" x14ac:dyDescent="0.35">
      <c r="A31" s="1" t="s">
        <v>24</v>
      </c>
      <c r="B31" s="1" t="str" cm="1">
        <f t="array" ref="B31">IFERROR(INDEX(_xlfn._xlws.FILTER('Standings Data'!$B$2:$B$49,('Standings Data'!$A$2:$A$49="C")*('Standings Data'!$K$2:$K$49=1)),1),"")</f>
        <v>Brazil</v>
      </c>
      <c r="C31" s="1">
        <f>IFERROR(_xlfn.XLOOKUP(B31,'Standings Data'!$B$2:$B$49,'Standings Data'!$J$2:$J$49),"")</f>
        <v>7</v>
      </c>
      <c r="D31" s="1"/>
      <c r="E31" s="1"/>
      <c r="F31" s="1"/>
      <c r="G31" s="1"/>
      <c r="H31" s="1"/>
    </row>
    <row r="32" spans="1:8" x14ac:dyDescent="0.35">
      <c r="A32" s="1" t="s">
        <v>29</v>
      </c>
      <c r="B32" s="1" t="str" cm="1">
        <f t="array" ref="B32">IFERROR(INDEX(_xlfn._xlws.FILTER('Standings Data'!$B$2:$B$49,('Standings Data'!$A$2:$A$49="D")*('Standings Data'!$K$2:$K$49=1)),1),"")</f>
        <v>USA</v>
      </c>
      <c r="C32" s="1">
        <f>IFERROR(_xlfn.XLOOKUP(B32,'Standings Data'!$B$2:$B$49,'Standings Data'!$J$2:$J$49),"")</f>
        <v>6</v>
      </c>
      <c r="D32" s="1"/>
      <c r="E32" s="1"/>
      <c r="F32" s="1"/>
      <c r="G32" s="1"/>
      <c r="H32" s="1"/>
    </row>
    <row r="33" spans="1:8" x14ac:dyDescent="0.35">
      <c r="A33" s="1" t="s">
        <v>34</v>
      </c>
      <c r="B33" s="1" t="str" cm="1">
        <f t="array" ref="B33">IFERROR(INDEX(_xlfn._xlws.FILTER('Standings Data'!$B$2:$B$49,('Standings Data'!$A$2:$A$49="E")*('Standings Data'!$K$2:$K$49=1)),1),"")</f>
        <v>Germany</v>
      </c>
      <c r="C33" s="1">
        <f>IFERROR(_xlfn.XLOOKUP(B33,'Standings Data'!$B$2:$B$49,'Standings Data'!$J$2:$J$49),"")</f>
        <v>6</v>
      </c>
      <c r="D33" s="1"/>
      <c r="E33" s="1"/>
      <c r="F33" s="1"/>
      <c r="G33" s="1"/>
      <c r="H33" s="1"/>
    </row>
    <row r="34" spans="1:8" x14ac:dyDescent="0.35">
      <c r="A34" s="1" t="s">
        <v>39</v>
      </c>
      <c r="B34" s="1" t="str" cm="1">
        <f t="array" ref="B34">IFERROR(INDEX(_xlfn._xlws.FILTER('Standings Data'!$B$2:$B$49,('Standings Data'!$A$2:$A$49="F")*('Standings Data'!$K$2:$K$49=1)),1),"")</f>
        <v>Netherlands</v>
      </c>
      <c r="C34" s="1">
        <f>IFERROR(_xlfn.XLOOKUP(B34,'Standings Data'!$B$2:$B$49,'Standings Data'!$J$2:$J$49),"")</f>
        <v>7</v>
      </c>
      <c r="D34" s="1"/>
      <c r="E34" s="1"/>
      <c r="F34" s="1"/>
      <c r="G34" s="1"/>
      <c r="H34" s="1"/>
    </row>
    <row r="35" spans="1:8" x14ac:dyDescent="0.35">
      <c r="A35" s="1" t="s">
        <v>44</v>
      </c>
      <c r="B35" s="1" t="str" cm="1">
        <f t="array" ref="B35">IFERROR(INDEX(_xlfn._xlws.FILTER('Standings Data'!$B$2:$B$49,('Standings Data'!$A$2:$A$49="G")*('Standings Data'!$K$2:$K$49=1)),1),"")</f>
        <v>Belgium</v>
      </c>
      <c r="C35" s="1">
        <f>IFERROR(_xlfn.XLOOKUP(B35,'Standings Data'!$B$2:$B$49,'Standings Data'!$J$2:$J$49),"")</f>
        <v>5</v>
      </c>
      <c r="D35" s="1"/>
      <c r="E35" s="1"/>
      <c r="F35" s="1"/>
      <c r="G35" s="1"/>
      <c r="H35" s="1"/>
    </row>
    <row r="36" spans="1:8" x14ac:dyDescent="0.35">
      <c r="A36" s="1" t="s">
        <v>49</v>
      </c>
      <c r="B36" s="1" t="str" cm="1">
        <f t="array" ref="B36">IFERROR(INDEX(_xlfn._xlws.FILTER('Standings Data'!$B$2:$B$49,('Standings Data'!$A$2:$A$49="H")*('Standings Data'!$K$2:$K$49=1)),1),"")</f>
        <v>Spain</v>
      </c>
      <c r="C36" s="1">
        <f>IFERROR(_xlfn.XLOOKUP(B36,'Standings Data'!$B$2:$B$49,'Standings Data'!$J$2:$J$49),"")</f>
        <v>7</v>
      </c>
      <c r="D36" s="1"/>
      <c r="E36" s="1"/>
      <c r="F36" s="1"/>
      <c r="G36" s="1"/>
      <c r="H36" s="1"/>
    </row>
    <row r="37" spans="1:8" x14ac:dyDescent="0.35">
      <c r="A37" s="1" t="s">
        <v>54</v>
      </c>
      <c r="B37" s="1" t="str" cm="1">
        <f t="array" ref="B37">IFERROR(INDEX(_xlfn._xlws.FILTER('Standings Data'!$B$2:$B$49,('Standings Data'!$A$2:$A$49="I")*('Standings Data'!$K$2:$K$49=1)),1),"")</f>
        <v>France</v>
      </c>
      <c r="C37" s="1">
        <f>IFERROR(_xlfn.XLOOKUP(B37,'Standings Data'!$B$2:$B$49,'Standings Data'!$J$2:$J$49),"")</f>
        <v>9</v>
      </c>
      <c r="D37" s="1"/>
      <c r="E37" s="1"/>
      <c r="F37" s="1"/>
      <c r="G37" s="1"/>
      <c r="H37" s="1"/>
    </row>
    <row r="38" spans="1:8" x14ac:dyDescent="0.35">
      <c r="A38" s="1" t="s">
        <v>59</v>
      </c>
      <c r="B38" s="1" t="str" cm="1">
        <f t="array" ref="B38">IFERROR(INDEX(_xlfn._xlws.FILTER('Standings Data'!$B$2:$B$49,('Standings Data'!$A$2:$A$49="J")*('Standings Data'!$K$2:$K$49=1)),1),"")</f>
        <v>Argentina</v>
      </c>
      <c r="C38" s="1">
        <f>IFERROR(_xlfn.XLOOKUP(B38,'Standings Data'!$B$2:$B$49,'Standings Data'!$J$2:$J$49),"")</f>
        <v>9</v>
      </c>
      <c r="D38" s="1"/>
      <c r="E38" s="1"/>
      <c r="F38" s="1"/>
      <c r="G38" s="1"/>
      <c r="H38" s="1"/>
    </row>
    <row r="39" spans="1:8" x14ac:dyDescent="0.35">
      <c r="A39" s="1" t="s">
        <v>64</v>
      </c>
      <c r="B39" s="1" t="str" cm="1">
        <f t="array" ref="B39">IFERROR(INDEX(_xlfn._xlws.FILTER('Standings Data'!$B$2:$B$49,('Standings Data'!$A$2:$A$49="K")*('Standings Data'!$K$2:$K$49=1)),1),"")</f>
        <v>Colombia</v>
      </c>
      <c r="C39" s="1">
        <f>IFERROR(_xlfn.XLOOKUP(B39,'Standings Data'!$B$2:$B$49,'Standings Data'!$J$2:$J$49),"")</f>
        <v>7</v>
      </c>
      <c r="D39" s="1"/>
      <c r="E39" s="1"/>
      <c r="F39" s="1"/>
      <c r="G39" s="1"/>
      <c r="H39" s="1"/>
    </row>
    <row r="40" spans="1:8" x14ac:dyDescent="0.35">
      <c r="A40" s="1" t="s">
        <v>69</v>
      </c>
      <c r="B40" s="1" t="str" cm="1">
        <f t="array" ref="B40">IFERROR(INDEX(_xlfn._xlws.FILTER('Standings Data'!$B$2:$B$49,('Standings Data'!$A$2:$A$49="L")*('Standings Data'!$K$2:$K$49=1)),1),"")</f>
        <v>England</v>
      </c>
      <c r="C40" s="1">
        <f>IFERROR(_xlfn.XLOOKUP(B40,'Standings Data'!$B$2:$B$49,'Standings Data'!$J$2:$J$49),"")</f>
        <v>7</v>
      </c>
      <c r="D40" s="1"/>
      <c r="E40" s="1"/>
      <c r="F40" s="1"/>
      <c r="G40" s="1"/>
      <c r="H40" s="1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A8A1-7857-4097-A309-B2D871AB743D}">
  <dimension ref="A1:AI44"/>
  <sheetViews>
    <sheetView workbookViewId="0">
      <selection sqref="A1:L1"/>
    </sheetView>
  </sheetViews>
  <sheetFormatPr defaultRowHeight="14.5" x14ac:dyDescent="0.35"/>
  <cols>
    <col min="1" max="1" width="22.7265625" customWidth="1"/>
    <col min="2" max="2" width="8.08984375" bestFit="1" customWidth="1"/>
    <col min="3" max="3" width="7.08984375" bestFit="1" customWidth="1"/>
    <col min="4" max="4" width="6.6328125" bestFit="1" customWidth="1"/>
    <col min="5" max="5" width="6.26953125" bestFit="1" customWidth="1"/>
    <col min="6" max="6" width="7.6328125" bestFit="1" customWidth="1"/>
    <col min="7" max="7" width="7.7265625" bestFit="1" customWidth="1"/>
    <col min="8" max="8" width="7.90625" bestFit="1" customWidth="1"/>
    <col min="9" max="9" width="8" bestFit="1" customWidth="1"/>
    <col min="10" max="10" width="9.6328125" bestFit="1" customWidth="1"/>
    <col min="11" max="11" width="12" bestFit="1" customWidth="1"/>
    <col min="12" max="12" width="20" customWidth="1"/>
    <col min="15" max="15" width="22.7265625" customWidth="1"/>
    <col min="16" max="16" width="8.08984375" bestFit="1" customWidth="1"/>
    <col min="17" max="17" width="7.08984375" bestFit="1" customWidth="1"/>
    <col min="18" max="18" width="6.6328125" bestFit="1" customWidth="1"/>
    <col min="19" max="19" width="6.26953125" bestFit="1" customWidth="1"/>
    <col min="20" max="20" width="7.6328125" bestFit="1" customWidth="1"/>
    <col min="21" max="21" width="7.7265625" bestFit="1" customWidth="1"/>
    <col min="22" max="22" width="7.90625" bestFit="1" customWidth="1"/>
    <col min="23" max="23" width="8" bestFit="1" customWidth="1"/>
    <col min="24" max="24" width="9.6328125" bestFit="1" customWidth="1"/>
    <col min="25" max="25" width="12" bestFit="1" customWidth="1"/>
    <col min="26" max="26" width="20" customWidth="1"/>
    <col min="29" max="29" width="9.6328125" bestFit="1" customWidth="1"/>
    <col min="30" max="30" width="22.7265625" customWidth="1"/>
    <col min="31" max="31" width="10.453125" bestFit="1" customWidth="1"/>
    <col min="32" max="32" width="8" bestFit="1" customWidth="1"/>
    <col min="33" max="33" width="7.90625" bestFit="1" customWidth="1"/>
    <col min="34" max="34" width="7.6328125" bestFit="1" customWidth="1"/>
    <col min="35" max="35" width="20" customWidth="1"/>
  </cols>
  <sheetData>
    <row r="1" spans="1:35" x14ac:dyDescent="0.35">
      <c r="A1" s="49" t="s">
        <v>208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1"/>
      <c r="N1" s="1"/>
      <c r="O1" s="49" t="s">
        <v>214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1"/>
      <c r="AB1" s="1"/>
      <c r="AC1" s="47" t="s">
        <v>111</v>
      </c>
      <c r="AD1" s="47"/>
      <c r="AE1" s="47"/>
      <c r="AF1" s="47"/>
      <c r="AG1" s="47"/>
      <c r="AH1" s="47"/>
      <c r="AI1" s="47"/>
    </row>
    <row r="2" spans="1:35" x14ac:dyDescent="0.35">
      <c r="A2" s="14" t="s">
        <v>13</v>
      </c>
      <c r="B2" s="14" t="s">
        <v>102</v>
      </c>
      <c r="C2" s="14" t="s">
        <v>103</v>
      </c>
      <c r="D2" s="14" t="s">
        <v>29</v>
      </c>
      <c r="E2" s="14" t="s">
        <v>69</v>
      </c>
      <c r="F2" s="14" t="s">
        <v>104</v>
      </c>
      <c r="G2" s="14" t="s">
        <v>105</v>
      </c>
      <c r="H2" s="14" t="s">
        <v>106</v>
      </c>
      <c r="I2" s="14" t="s">
        <v>107</v>
      </c>
      <c r="J2" s="14" t="s">
        <v>108</v>
      </c>
      <c r="K2" s="14" t="s">
        <v>109</v>
      </c>
      <c r="L2" s="14" t="s">
        <v>110</v>
      </c>
      <c r="M2" s="1"/>
      <c r="N2" s="1"/>
      <c r="O2" s="14" t="s">
        <v>13</v>
      </c>
      <c r="P2" s="14" t="s">
        <v>102</v>
      </c>
      <c r="Q2" s="14" t="s">
        <v>103</v>
      </c>
      <c r="R2" s="14" t="s">
        <v>29</v>
      </c>
      <c r="S2" s="14" t="s">
        <v>69</v>
      </c>
      <c r="T2" s="14" t="s">
        <v>104</v>
      </c>
      <c r="U2" s="14" t="s">
        <v>105</v>
      </c>
      <c r="V2" s="14" t="s">
        <v>106</v>
      </c>
      <c r="W2" s="14" t="s">
        <v>107</v>
      </c>
      <c r="X2" s="14" t="s">
        <v>108</v>
      </c>
      <c r="Y2" s="14" t="s">
        <v>109</v>
      </c>
      <c r="Z2" s="14" t="s">
        <v>110</v>
      </c>
      <c r="AA2" s="1"/>
      <c r="AB2" s="1"/>
      <c r="AC2" s="13" t="s">
        <v>108</v>
      </c>
      <c r="AD2" s="13" t="s">
        <v>13</v>
      </c>
      <c r="AE2" s="13" t="s">
        <v>12</v>
      </c>
      <c r="AF2" s="13" t="s">
        <v>107</v>
      </c>
      <c r="AG2" s="13" t="s">
        <v>106</v>
      </c>
      <c r="AH2" s="13" t="s">
        <v>104</v>
      </c>
      <c r="AI2" s="13" t="s">
        <v>112</v>
      </c>
    </row>
    <row r="3" spans="1:35" x14ac:dyDescent="0.35">
      <c r="A3" s="15" t="str" cm="1">
        <f t="array" ref="A3">IFERROR(INDEX(_xlfn.SORTBY(_xlfn._xlws.FILTER('Standings Data'!$B$2:$M$49,'Standings Data'!$A$2:$A$49="A"),_xlfn._xlws.FILTER('Standings Data'!$K$2:$K$49,'Standings Data'!$A$2:$A$49="A"),1),1,1),"")</f>
        <v>Mexico</v>
      </c>
      <c r="B3" s="16" cm="1">
        <f t="array" ref="B3">IFERROR(INDEX(_xlfn.SORTBY(_xlfn._xlws.FILTER('Standings Data'!$B$2:$M$49,'Standings Data'!$A$2:$A$49="A"),_xlfn._xlws.FILTER('Standings Data'!$K$2:$K$49,'Standings Data'!$A$2:$A$49="A"),1),1,2),"")</f>
        <v>3</v>
      </c>
      <c r="C3" s="16" cm="1">
        <f t="array" ref="C3">IFERROR(INDEX(_xlfn.SORTBY(_xlfn._xlws.FILTER('Standings Data'!$B$2:$M$49,'Standings Data'!$A$2:$A$49="A"),_xlfn._xlws.FILTER('Standings Data'!$K$2:$K$49,'Standings Data'!$A$2:$A$49="A"),1),1,3),"")</f>
        <v>3</v>
      </c>
      <c r="D3" s="16" cm="1">
        <f t="array" ref="D3">IFERROR(INDEX(_xlfn.SORTBY(_xlfn._xlws.FILTER('Standings Data'!$B$2:$M$49,'Standings Data'!$A$2:$A$49="A"),_xlfn._xlws.FILTER('Standings Data'!$K$2:$K$49,'Standings Data'!$A$2:$A$49="A"),1),1,4),"")</f>
        <v>0</v>
      </c>
      <c r="E3" s="16" cm="1">
        <f t="array" ref="E3">IFERROR(INDEX(_xlfn.SORTBY(_xlfn._xlws.FILTER('Standings Data'!$B$2:$M$49,'Standings Data'!$A$2:$A$49="A"),_xlfn._xlws.FILTER('Standings Data'!$K$2:$K$49,'Standings Data'!$A$2:$A$49="A"),1),1,5),"")</f>
        <v>0</v>
      </c>
      <c r="F3" s="16" cm="1">
        <f t="array" ref="F3">IFERROR(INDEX(_xlfn.SORTBY(_xlfn._xlws.FILTER('Standings Data'!$B$2:$M$49,'Standings Data'!$A$2:$A$49="A"),_xlfn._xlws.FILTER('Standings Data'!$K$2:$K$49,'Standings Data'!$A$2:$A$49="A"),1),1,6),"")</f>
        <v>6</v>
      </c>
      <c r="G3" s="16" cm="1">
        <f t="array" ref="G3">IFERROR(INDEX(_xlfn.SORTBY(_xlfn._xlws.FILTER('Standings Data'!$B$2:$M$49,'Standings Data'!$A$2:$A$49="A"),_xlfn._xlws.FILTER('Standings Data'!$K$2:$K$49,'Standings Data'!$A$2:$A$49="A"),1),1,7),"")</f>
        <v>0</v>
      </c>
      <c r="H3" s="16" cm="1">
        <f t="array" ref="H3">IFERROR(INDEX(_xlfn.SORTBY(_xlfn._xlws.FILTER('Standings Data'!$B$2:$M$49,'Standings Data'!$A$2:$A$49="A"),_xlfn._xlws.FILTER('Standings Data'!$K$2:$K$49,'Standings Data'!$A$2:$A$49="A"),1),1,8),"")</f>
        <v>6</v>
      </c>
      <c r="I3" s="16" cm="1">
        <f t="array" ref="I3">IFERROR(INDEX(_xlfn.SORTBY(_xlfn._xlws.FILTER('Standings Data'!$B$2:$M$49,'Standings Data'!$A$2:$A$49="A"),_xlfn._xlws.FILTER('Standings Data'!$K$2:$K$49,'Standings Data'!$A$2:$A$49="A"),1),1,9),"")</f>
        <v>9</v>
      </c>
      <c r="J3" s="16" cm="1">
        <f t="array" ref="J3">IFERROR(INDEX(_xlfn.SORTBY(_xlfn._xlws.FILTER('Standings Data'!$B$2:$M$49,'Standings Data'!$A$2:$A$49="A"),_xlfn._xlws.FILTER('Standings Data'!$K$2:$K$49,'Standings Data'!$A$2:$A$49="A"),1),1,10),"")</f>
        <v>1</v>
      </c>
      <c r="K3" s="17" t="str" cm="1">
        <f t="array" ref="K3">IFERROR(INDEX(_xlfn.SORTBY(_xlfn._xlws.FILTER('Standings Data'!$B$2:$M$49,'Standings Data'!$A$2:$A$49="A"),_xlfn._xlws.FILTER('Standings Data'!$K$2:$K$49,'Standings Data'!$A$2:$A$49="A"),1),1,11),"")</f>
        <v>A1</v>
      </c>
      <c r="L3" s="15" t="str" cm="1">
        <f t="array" ref="L3">IFERROR(INDEX(_xlfn.SORTBY(_xlfn._xlws.FILTER('Standings Data'!$B$2:$M$49,'Standings Data'!$A$2:$A$49="A"),_xlfn._xlws.FILTER('Standings Data'!$K$2:$K$49,'Standings Data'!$A$2:$A$49="A"),1),1,12),"")</f>
        <v>Qualified</v>
      </c>
      <c r="M3" s="1"/>
      <c r="N3" s="1"/>
      <c r="O3" s="15" t="str" cm="1">
        <f t="array" ref="O3">IFERROR(INDEX(_xlfn.SORTBY(_xlfn._xlws.FILTER('Standings Data'!$B$2:$M$49,'Standings Data'!$A$2:$A$49="G"),_xlfn._xlws.FILTER('Standings Data'!$K$2:$K$49,'Standings Data'!$A$2:$A$49="G"),1),1,1),"")</f>
        <v>Belgium</v>
      </c>
      <c r="P3" s="16" cm="1">
        <f t="array" ref="P3">IFERROR(INDEX(_xlfn.SORTBY(_xlfn._xlws.FILTER('Standings Data'!$B$2:$M$49,'Standings Data'!$A$2:$A$49="G"),_xlfn._xlws.FILTER('Standings Data'!$K$2:$K$49,'Standings Data'!$A$2:$A$49="G"),1),1,2),"")</f>
        <v>3</v>
      </c>
      <c r="Q3" s="16" cm="1">
        <f t="array" ref="Q3">IFERROR(INDEX(_xlfn.SORTBY(_xlfn._xlws.FILTER('Standings Data'!$B$2:$M$49,'Standings Data'!$A$2:$A$49="G"),_xlfn._xlws.FILTER('Standings Data'!$K$2:$K$49,'Standings Data'!$A$2:$A$49="G"),1),1,3),"")</f>
        <v>1</v>
      </c>
      <c r="R3" s="16" cm="1">
        <f t="array" ref="R3">IFERROR(INDEX(_xlfn.SORTBY(_xlfn._xlws.FILTER('Standings Data'!$B$2:$M$49,'Standings Data'!$A$2:$A$49="G"),_xlfn._xlws.FILTER('Standings Data'!$K$2:$K$49,'Standings Data'!$A$2:$A$49="G"),1),1,4),"")</f>
        <v>2</v>
      </c>
      <c r="S3" s="16" cm="1">
        <f t="array" ref="S3">IFERROR(INDEX(_xlfn.SORTBY(_xlfn._xlws.FILTER('Standings Data'!$B$2:$M$49,'Standings Data'!$A$2:$A$49="G"),_xlfn._xlws.FILTER('Standings Data'!$K$2:$K$49,'Standings Data'!$A$2:$A$49="G"),1),1,5),"")</f>
        <v>0</v>
      </c>
      <c r="T3" s="16" cm="1">
        <f t="array" ref="T3">IFERROR(INDEX(_xlfn.SORTBY(_xlfn._xlws.FILTER('Standings Data'!$B$2:$M$49,'Standings Data'!$A$2:$A$49="G"),_xlfn._xlws.FILTER('Standings Data'!$K$2:$K$49,'Standings Data'!$A$2:$A$49="G"),1),1,6),"")</f>
        <v>6</v>
      </c>
      <c r="U3" s="16" cm="1">
        <f t="array" ref="U3">IFERROR(INDEX(_xlfn.SORTBY(_xlfn._xlws.FILTER('Standings Data'!$B$2:$M$49,'Standings Data'!$A$2:$A$49="G"),_xlfn._xlws.FILTER('Standings Data'!$K$2:$K$49,'Standings Data'!$A$2:$A$49="G"),1),1,7),"")</f>
        <v>2</v>
      </c>
      <c r="V3" s="16" cm="1">
        <f t="array" ref="V3">IFERROR(INDEX(_xlfn.SORTBY(_xlfn._xlws.FILTER('Standings Data'!$B$2:$M$49,'Standings Data'!$A$2:$A$49="G"),_xlfn._xlws.FILTER('Standings Data'!$K$2:$K$49,'Standings Data'!$A$2:$A$49="G"),1),1,8),"")</f>
        <v>4</v>
      </c>
      <c r="W3" s="16" cm="1">
        <f t="array" ref="W3">IFERROR(INDEX(_xlfn.SORTBY(_xlfn._xlws.FILTER('Standings Data'!$B$2:$M$49,'Standings Data'!$A$2:$A$49="G"),_xlfn._xlws.FILTER('Standings Data'!$K$2:$K$49,'Standings Data'!$A$2:$A$49="G"),1),1,9),"")</f>
        <v>5</v>
      </c>
      <c r="X3" s="16" cm="1">
        <f t="array" ref="X3">IFERROR(INDEX(_xlfn.SORTBY(_xlfn._xlws.FILTER('Standings Data'!$B$2:$M$49,'Standings Data'!$A$2:$A$49="G"),_xlfn._xlws.FILTER('Standings Data'!$K$2:$K$49,'Standings Data'!$A$2:$A$49="G"),1),1,10),"")</f>
        <v>1</v>
      </c>
      <c r="Y3" s="17" t="str" cm="1">
        <f t="array" ref="Y3">IFERROR(INDEX(_xlfn.SORTBY(_xlfn._xlws.FILTER('Standings Data'!$B$2:$M$49,'Standings Data'!$A$2:$A$49="G"),_xlfn._xlws.FILTER('Standings Data'!$K$2:$K$49,'Standings Data'!$A$2:$A$49="G"),1),1,11),"")</f>
        <v>G1</v>
      </c>
      <c r="Z3" s="15" t="str" cm="1">
        <f t="array" ref="Z3">IFERROR(INDEX(_xlfn.SORTBY(_xlfn._xlws.FILTER('Standings Data'!$B$2:$M$49,'Standings Data'!$A$2:$A$49="G"),_xlfn._xlws.FILTER('Standings Data'!$K$2:$K$49,'Standings Data'!$A$2:$A$49="G"),1),1,12),"")</f>
        <v>Qualified</v>
      </c>
      <c r="AA3" s="1"/>
      <c r="AB3" s="1"/>
      <c r="AC3" s="17">
        <f>'Standings Data'!O2</f>
        <v>1</v>
      </c>
      <c r="AD3" s="15" t="str">
        <f>'Standings Data'!P2</f>
        <v>Korea Republic</v>
      </c>
      <c r="AE3" s="17" t="str">
        <f>'Standings Data'!Q2</f>
        <v>A</v>
      </c>
      <c r="AF3" s="16">
        <f>'Standings Data'!R2</f>
        <v>3</v>
      </c>
      <c r="AG3" s="16">
        <f>'Standings Data'!S2</f>
        <v>-1</v>
      </c>
      <c r="AH3" s="16">
        <f>'Standings Data'!T2</f>
        <v>2</v>
      </c>
      <c r="AI3" s="15" t="str">
        <f>'Standings Data'!U2</f>
        <v>Likely advances</v>
      </c>
    </row>
    <row r="4" spans="1:35" x14ac:dyDescent="0.35">
      <c r="A4" s="15" t="str" cm="1">
        <f t="array" ref="A4">IFERROR(INDEX(_xlfn.SORTBY(_xlfn._xlws.FILTER('Standings Data'!$B$2:$M$49,'Standings Data'!$A$2:$A$49="A"),_xlfn._xlws.FILTER('Standings Data'!$K$2:$K$49,'Standings Data'!$A$2:$A$49="A"),1),2,1),"")</f>
        <v>South Africa</v>
      </c>
      <c r="B4" s="16" cm="1">
        <f t="array" ref="B4">IFERROR(INDEX(_xlfn.SORTBY(_xlfn._xlws.FILTER('Standings Data'!$B$2:$M$49,'Standings Data'!$A$2:$A$49="A"),_xlfn._xlws.FILTER('Standings Data'!$K$2:$K$49,'Standings Data'!$A$2:$A$49="A"),1),2,2),"")</f>
        <v>3</v>
      </c>
      <c r="C4" s="16" cm="1">
        <f t="array" ref="C4">IFERROR(INDEX(_xlfn.SORTBY(_xlfn._xlws.FILTER('Standings Data'!$B$2:$M$49,'Standings Data'!$A$2:$A$49="A"),_xlfn._xlws.FILTER('Standings Data'!$K$2:$K$49,'Standings Data'!$A$2:$A$49="A"),1),2,3),"")</f>
        <v>1</v>
      </c>
      <c r="D4" s="16" cm="1">
        <f t="array" ref="D4">IFERROR(INDEX(_xlfn.SORTBY(_xlfn._xlws.FILTER('Standings Data'!$B$2:$M$49,'Standings Data'!$A$2:$A$49="A"),_xlfn._xlws.FILTER('Standings Data'!$K$2:$K$49,'Standings Data'!$A$2:$A$49="A"),1),2,4),"")</f>
        <v>1</v>
      </c>
      <c r="E4" s="16" cm="1">
        <f t="array" ref="E4">IFERROR(INDEX(_xlfn.SORTBY(_xlfn._xlws.FILTER('Standings Data'!$B$2:$M$49,'Standings Data'!$A$2:$A$49="A"),_xlfn._xlws.FILTER('Standings Data'!$K$2:$K$49,'Standings Data'!$A$2:$A$49="A"),1),2,5),"")</f>
        <v>1</v>
      </c>
      <c r="F4" s="16" cm="1">
        <f t="array" ref="F4">IFERROR(INDEX(_xlfn.SORTBY(_xlfn._xlws.FILTER('Standings Data'!$B$2:$M$49,'Standings Data'!$A$2:$A$49="A"),_xlfn._xlws.FILTER('Standings Data'!$K$2:$K$49,'Standings Data'!$A$2:$A$49="A"),1),2,6),"")</f>
        <v>2</v>
      </c>
      <c r="G4" s="16" cm="1">
        <f t="array" ref="G4">IFERROR(INDEX(_xlfn.SORTBY(_xlfn._xlws.FILTER('Standings Data'!$B$2:$M$49,'Standings Data'!$A$2:$A$49="A"),_xlfn._xlws.FILTER('Standings Data'!$K$2:$K$49,'Standings Data'!$A$2:$A$49="A"),1),2,7),"")</f>
        <v>3</v>
      </c>
      <c r="H4" s="16" cm="1">
        <f t="array" ref="H4">IFERROR(INDEX(_xlfn.SORTBY(_xlfn._xlws.FILTER('Standings Data'!$B$2:$M$49,'Standings Data'!$A$2:$A$49="A"),_xlfn._xlws.FILTER('Standings Data'!$K$2:$K$49,'Standings Data'!$A$2:$A$49="A"),1),2,8),"")</f>
        <v>-1</v>
      </c>
      <c r="I4" s="16" cm="1">
        <f t="array" ref="I4">IFERROR(INDEX(_xlfn.SORTBY(_xlfn._xlws.FILTER('Standings Data'!$B$2:$M$49,'Standings Data'!$A$2:$A$49="A"),_xlfn._xlws.FILTER('Standings Data'!$K$2:$K$49,'Standings Data'!$A$2:$A$49="A"),1),2,9),"")</f>
        <v>4</v>
      </c>
      <c r="J4" s="16" cm="1">
        <f t="array" ref="J4">IFERROR(INDEX(_xlfn.SORTBY(_xlfn._xlws.FILTER('Standings Data'!$B$2:$M$49,'Standings Data'!$A$2:$A$49="A"),_xlfn._xlws.FILTER('Standings Data'!$K$2:$K$49,'Standings Data'!$A$2:$A$49="A"),1),2,10),"")</f>
        <v>2</v>
      </c>
      <c r="K4" s="17" t="str" cm="1">
        <f t="array" ref="K4">IFERROR(INDEX(_xlfn.SORTBY(_xlfn._xlws.FILTER('Standings Data'!$B$2:$M$49,'Standings Data'!$A$2:$A$49="A"),_xlfn._xlws.FILTER('Standings Data'!$K$2:$K$49,'Standings Data'!$A$2:$A$49="A"),1),2,11),"")</f>
        <v>A2</v>
      </c>
      <c r="L4" s="15" t="str" cm="1">
        <f t="array" ref="L4">IFERROR(INDEX(_xlfn.SORTBY(_xlfn._xlws.FILTER('Standings Data'!$B$2:$M$49,'Standings Data'!$A$2:$A$49="A"),_xlfn._xlws.FILTER('Standings Data'!$K$2:$K$49,'Standings Data'!$A$2:$A$49="A"),1),2,12),"")</f>
        <v>Qualified</v>
      </c>
      <c r="M4" s="1"/>
      <c r="N4" s="1"/>
      <c r="O4" s="15" t="str" cm="1">
        <f t="array" ref="O4">IFERROR(INDEX(_xlfn.SORTBY(_xlfn._xlws.FILTER('Standings Data'!$B$2:$M$49,'Standings Data'!$A$2:$A$49="G"),_xlfn._xlws.FILTER('Standings Data'!$K$2:$K$49,'Standings Data'!$A$2:$A$49="G"),1),2,1),"")</f>
        <v>Egypt</v>
      </c>
      <c r="P4" s="16" cm="1">
        <f t="array" ref="P4">IFERROR(INDEX(_xlfn.SORTBY(_xlfn._xlws.FILTER('Standings Data'!$B$2:$M$49,'Standings Data'!$A$2:$A$49="G"),_xlfn._xlws.FILTER('Standings Data'!$K$2:$K$49,'Standings Data'!$A$2:$A$49="G"),1),2,2),"")</f>
        <v>3</v>
      </c>
      <c r="Q4" s="16" cm="1">
        <f t="array" ref="Q4">IFERROR(INDEX(_xlfn.SORTBY(_xlfn._xlws.FILTER('Standings Data'!$B$2:$M$49,'Standings Data'!$A$2:$A$49="G"),_xlfn._xlws.FILTER('Standings Data'!$K$2:$K$49,'Standings Data'!$A$2:$A$49="G"),1),2,3),"")</f>
        <v>1</v>
      </c>
      <c r="R4" s="16" cm="1">
        <f t="array" ref="R4">IFERROR(INDEX(_xlfn.SORTBY(_xlfn._xlws.FILTER('Standings Data'!$B$2:$M$49,'Standings Data'!$A$2:$A$49="G"),_xlfn._xlws.FILTER('Standings Data'!$K$2:$K$49,'Standings Data'!$A$2:$A$49="G"),1),2,4),"")</f>
        <v>2</v>
      </c>
      <c r="S4" s="16" cm="1">
        <f t="array" ref="S4">IFERROR(INDEX(_xlfn.SORTBY(_xlfn._xlws.FILTER('Standings Data'!$B$2:$M$49,'Standings Data'!$A$2:$A$49="G"),_xlfn._xlws.FILTER('Standings Data'!$K$2:$K$49,'Standings Data'!$A$2:$A$49="G"),1),2,5),"")</f>
        <v>0</v>
      </c>
      <c r="T4" s="16" cm="1">
        <f t="array" ref="T4">IFERROR(INDEX(_xlfn.SORTBY(_xlfn._xlws.FILTER('Standings Data'!$B$2:$M$49,'Standings Data'!$A$2:$A$49="G"),_xlfn._xlws.FILTER('Standings Data'!$K$2:$K$49,'Standings Data'!$A$2:$A$49="G"),1),2,6),"")</f>
        <v>5</v>
      </c>
      <c r="U4" s="16" cm="1">
        <f t="array" ref="U4">IFERROR(INDEX(_xlfn.SORTBY(_xlfn._xlws.FILTER('Standings Data'!$B$2:$M$49,'Standings Data'!$A$2:$A$49="G"),_xlfn._xlws.FILTER('Standings Data'!$K$2:$K$49,'Standings Data'!$A$2:$A$49="G"),1),2,7),"")</f>
        <v>3</v>
      </c>
      <c r="V4" s="16" cm="1">
        <f t="array" ref="V4">IFERROR(INDEX(_xlfn.SORTBY(_xlfn._xlws.FILTER('Standings Data'!$B$2:$M$49,'Standings Data'!$A$2:$A$49="G"),_xlfn._xlws.FILTER('Standings Data'!$K$2:$K$49,'Standings Data'!$A$2:$A$49="G"),1),2,8),"")</f>
        <v>2</v>
      </c>
      <c r="W4" s="16" cm="1">
        <f t="array" ref="W4">IFERROR(INDEX(_xlfn.SORTBY(_xlfn._xlws.FILTER('Standings Data'!$B$2:$M$49,'Standings Data'!$A$2:$A$49="G"),_xlfn._xlws.FILTER('Standings Data'!$K$2:$K$49,'Standings Data'!$A$2:$A$49="G"),1),2,9),"")</f>
        <v>5</v>
      </c>
      <c r="X4" s="16" cm="1">
        <f t="array" ref="X4">IFERROR(INDEX(_xlfn.SORTBY(_xlfn._xlws.FILTER('Standings Data'!$B$2:$M$49,'Standings Data'!$A$2:$A$49="G"),_xlfn._xlws.FILTER('Standings Data'!$K$2:$K$49,'Standings Data'!$A$2:$A$49="G"),1),2,10),"")</f>
        <v>2</v>
      </c>
      <c r="Y4" s="17" t="str" cm="1">
        <f t="array" ref="Y4">IFERROR(INDEX(_xlfn.SORTBY(_xlfn._xlws.FILTER('Standings Data'!$B$2:$M$49,'Standings Data'!$A$2:$A$49="G"),_xlfn._xlws.FILTER('Standings Data'!$K$2:$K$49,'Standings Data'!$A$2:$A$49="G"),1),2,11),"")</f>
        <v>G2</v>
      </c>
      <c r="Z4" s="15" t="str" cm="1">
        <f t="array" ref="Z4">IFERROR(INDEX(_xlfn.SORTBY(_xlfn._xlws.FILTER('Standings Data'!$B$2:$M$49,'Standings Data'!$A$2:$A$49="G"),_xlfn._xlws.FILTER('Standings Data'!$K$2:$K$49,'Standings Data'!$A$2:$A$49="G"),1),2,12),"")</f>
        <v>Qualified</v>
      </c>
      <c r="AA4" s="1"/>
      <c r="AB4" s="1"/>
      <c r="AC4" s="17">
        <f>'Standings Data'!O3</f>
        <v>2</v>
      </c>
      <c r="AD4" s="15" t="str">
        <f>'Standings Data'!P3</f>
        <v>Bosnia and Herzegovina</v>
      </c>
      <c r="AE4" s="17" t="str">
        <f>'Standings Data'!Q3</f>
        <v>B</v>
      </c>
      <c r="AF4" s="16">
        <f>'Standings Data'!R3</f>
        <v>4</v>
      </c>
      <c r="AG4" s="16">
        <f>'Standings Data'!S3</f>
        <v>-1</v>
      </c>
      <c r="AH4" s="16">
        <f>'Standings Data'!T3</f>
        <v>5</v>
      </c>
      <c r="AI4" s="15" t="str">
        <f>'Standings Data'!U3</f>
        <v>Likely advances</v>
      </c>
    </row>
    <row r="5" spans="1:35" x14ac:dyDescent="0.35">
      <c r="A5" s="15" t="str" cm="1">
        <f t="array" ref="A5">IFERROR(INDEX(_xlfn.SORTBY(_xlfn._xlws.FILTER('Standings Data'!$B$2:$M$49,'Standings Data'!$A$2:$A$49="A"),_xlfn._xlws.FILTER('Standings Data'!$K$2:$K$49,'Standings Data'!$A$2:$A$49="A"),1),3,1),"")</f>
        <v>Korea Republic</v>
      </c>
      <c r="B5" s="16" cm="1">
        <f t="array" ref="B5">IFERROR(INDEX(_xlfn.SORTBY(_xlfn._xlws.FILTER('Standings Data'!$B$2:$M$49,'Standings Data'!$A$2:$A$49="A"),_xlfn._xlws.FILTER('Standings Data'!$K$2:$K$49,'Standings Data'!$A$2:$A$49="A"),1),3,2),"")</f>
        <v>3</v>
      </c>
      <c r="C5" s="16" cm="1">
        <f t="array" ref="C5">IFERROR(INDEX(_xlfn.SORTBY(_xlfn._xlws.FILTER('Standings Data'!$B$2:$M$49,'Standings Data'!$A$2:$A$49="A"),_xlfn._xlws.FILTER('Standings Data'!$K$2:$K$49,'Standings Data'!$A$2:$A$49="A"),1),3,3),"")</f>
        <v>1</v>
      </c>
      <c r="D5" s="16" cm="1">
        <f t="array" ref="D5">IFERROR(INDEX(_xlfn.SORTBY(_xlfn._xlws.FILTER('Standings Data'!$B$2:$M$49,'Standings Data'!$A$2:$A$49="A"),_xlfn._xlws.FILTER('Standings Data'!$K$2:$K$49,'Standings Data'!$A$2:$A$49="A"),1),3,4),"")</f>
        <v>0</v>
      </c>
      <c r="E5" s="16" cm="1">
        <f t="array" ref="E5">IFERROR(INDEX(_xlfn.SORTBY(_xlfn._xlws.FILTER('Standings Data'!$B$2:$M$49,'Standings Data'!$A$2:$A$49="A"),_xlfn._xlws.FILTER('Standings Data'!$K$2:$K$49,'Standings Data'!$A$2:$A$49="A"),1),3,5),"")</f>
        <v>2</v>
      </c>
      <c r="F5" s="16" cm="1">
        <f t="array" ref="F5">IFERROR(INDEX(_xlfn.SORTBY(_xlfn._xlws.FILTER('Standings Data'!$B$2:$M$49,'Standings Data'!$A$2:$A$49="A"),_xlfn._xlws.FILTER('Standings Data'!$K$2:$K$49,'Standings Data'!$A$2:$A$49="A"),1),3,6),"")</f>
        <v>2</v>
      </c>
      <c r="G5" s="16" cm="1">
        <f t="array" ref="G5">IFERROR(INDEX(_xlfn.SORTBY(_xlfn._xlws.FILTER('Standings Data'!$B$2:$M$49,'Standings Data'!$A$2:$A$49="A"),_xlfn._xlws.FILTER('Standings Data'!$K$2:$K$49,'Standings Data'!$A$2:$A$49="A"),1),3,7),"")</f>
        <v>3</v>
      </c>
      <c r="H5" s="16" cm="1">
        <f t="array" ref="H5">IFERROR(INDEX(_xlfn.SORTBY(_xlfn._xlws.FILTER('Standings Data'!$B$2:$M$49,'Standings Data'!$A$2:$A$49="A"),_xlfn._xlws.FILTER('Standings Data'!$K$2:$K$49,'Standings Data'!$A$2:$A$49="A"),1),3,8),"")</f>
        <v>-1</v>
      </c>
      <c r="I5" s="16" cm="1">
        <f t="array" ref="I5">IFERROR(INDEX(_xlfn.SORTBY(_xlfn._xlws.FILTER('Standings Data'!$B$2:$M$49,'Standings Data'!$A$2:$A$49="A"),_xlfn._xlws.FILTER('Standings Data'!$K$2:$K$49,'Standings Data'!$A$2:$A$49="A"),1),3,9),"")</f>
        <v>3</v>
      </c>
      <c r="J5" s="16" cm="1">
        <f t="array" ref="J5">IFERROR(INDEX(_xlfn.SORTBY(_xlfn._xlws.FILTER('Standings Data'!$B$2:$M$49,'Standings Data'!$A$2:$A$49="A"),_xlfn._xlws.FILTER('Standings Data'!$K$2:$K$49,'Standings Data'!$A$2:$A$49="A"),1),3,10),"")</f>
        <v>3</v>
      </c>
      <c r="K5" s="17" t="str" cm="1">
        <f t="array" ref="K5">IFERROR(INDEX(_xlfn.SORTBY(_xlfn._xlws.FILTER('Standings Data'!$B$2:$M$49,'Standings Data'!$A$2:$A$49="A"),_xlfn._xlws.FILTER('Standings Data'!$K$2:$K$49,'Standings Data'!$A$2:$A$49="A"),1),3,11),"")</f>
        <v>A3</v>
      </c>
      <c r="L5" s="15" t="str" cm="1">
        <f t="array" ref="L5">IFERROR(INDEX(_xlfn.SORTBY(_xlfn._xlws.FILTER('Standings Data'!$B$2:$M$49,'Standings Data'!$A$2:$A$49="A"),_xlfn._xlws.FILTER('Standings Data'!$K$2:$K$49,'Standings Data'!$A$2:$A$49="A"),1),3,12),"")</f>
        <v>Third-place pool</v>
      </c>
      <c r="M5" s="1"/>
      <c r="N5" s="1"/>
      <c r="O5" s="15" t="str" cm="1">
        <f t="array" ref="O5">IFERROR(INDEX(_xlfn.SORTBY(_xlfn._xlws.FILTER('Standings Data'!$B$2:$M$49,'Standings Data'!$A$2:$A$49="G"),_xlfn._xlws.FILTER('Standings Data'!$K$2:$K$49,'Standings Data'!$A$2:$A$49="G"),1),3,1),"")</f>
        <v>IR Iran</v>
      </c>
      <c r="P5" s="16" cm="1">
        <f t="array" ref="P5">IFERROR(INDEX(_xlfn.SORTBY(_xlfn._xlws.FILTER('Standings Data'!$B$2:$M$49,'Standings Data'!$A$2:$A$49="G"),_xlfn._xlws.FILTER('Standings Data'!$K$2:$K$49,'Standings Data'!$A$2:$A$49="G"),1),3,2),"")</f>
        <v>3</v>
      </c>
      <c r="Q5" s="16" cm="1">
        <f t="array" ref="Q5">IFERROR(INDEX(_xlfn.SORTBY(_xlfn._xlws.FILTER('Standings Data'!$B$2:$M$49,'Standings Data'!$A$2:$A$49="G"),_xlfn._xlws.FILTER('Standings Data'!$K$2:$K$49,'Standings Data'!$A$2:$A$49="G"),1),3,3),"")</f>
        <v>0</v>
      </c>
      <c r="R5" s="16" cm="1">
        <f t="array" ref="R5">IFERROR(INDEX(_xlfn.SORTBY(_xlfn._xlws.FILTER('Standings Data'!$B$2:$M$49,'Standings Data'!$A$2:$A$49="G"),_xlfn._xlws.FILTER('Standings Data'!$K$2:$K$49,'Standings Data'!$A$2:$A$49="G"),1),3,4),"")</f>
        <v>3</v>
      </c>
      <c r="S5" s="16" cm="1">
        <f t="array" ref="S5">IFERROR(INDEX(_xlfn.SORTBY(_xlfn._xlws.FILTER('Standings Data'!$B$2:$M$49,'Standings Data'!$A$2:$A$49="G"),_xlfn._xlws.FILTER('Standings Data'!$K$2:$K$49,'Standings Data'!$A$2:$A$49="G"),1),3,5),"")</f>
        <v>0</v>
      </c>
      <c r="T5" s="16" cm="1">
        <f t="array" ref="T5">IFERROR(INDEX(_xlfn.SORTBY(_xlfn._xlws.FILTER('Standings Data'!$B$2:$M$49,'Standings Data'!$A$2:$A$49="G"),_xlfn._xlws.FILTER('Standings Data'!$K$2:$K$49,'Standings Data'!$A$2:$A$49="G"),1),3,6),"")</f>
        <v>3</v>
      </c>
      <c r="U5" s="16" cm="1">
        <f t="array" ref="U5">IFERROR(INDEX(_xlfn.SORTBY(_xlfn._xlws.FILTER('Standings Data'!$B$2:$M$49,'Standings Data'!$A$2:$A$49="G"),_xlfn._xlws.FILTER('Standings Data'!$K$2:$K$49,'Standings Data'!$A$2:$A$49="G"),1),3,7),"")</f>
        <v>3</v>
      </c>
      <c r="V5" s="16" cm="1">
        <f t="array" ref="V5">IFERROR(INDEX(_xlfn.SORTBY(_xlfn._xlws.FILTER('Standings Data'!$B$2:$M$49,'Standings Data'!$A$2:$A$49="G"),_xlfn._xlws.FILTER('Standings Data'!$K$2:$K$49,'Standings Data'!$A$2:$A$49="G"),1),3,8),"")</f>
        <v>0</v>
      </c>
      <c r="W5" s="16" cm="1">
        <f t="array" ref="W5">IFERROR(INDEX(_xlfn.SORTBY(_xlfn._xlws.FILTER('Standings Data'!$B$2:$M$49,'Standings Data'!$A$2:$A$49="G"),_xlfn._xlws.FILTER('Standings Data'!$K$2:$K$49,'Standings Data'!$A$2:$A$49="G"),1),3,9),"")</f>
        <v>3</v>
      </c>
      <c r="X5" s="16" cm="1">
        <f t="array" ref="X5">IFERROR(INDEX(_xlfn.SORTBY(_xlfn._xlws.FILTER('Standings Data'!$B$2:$M$49,'Standings Data'!$A$2:$A$49="G"),_xlfn._xlws.FILTER('Standings Data'!$K$2:$K$49,'Standings Data'!$A$2:$A$49="G"),1),3,10),"")</f>
        <v>3</v>
      </c>
      <c r="Y5" s="17" t="str" cm="1">
        <f t="array" ref="Y5">IFERROR(INDEX(_xlfn.SORTBY(_xlfn._xlws.FILTER('Standings Data'!$B$2:$M$49,'Standings Data'!$A$2:$A$49="G"),_xlfn._xlws.FILTER('Standings Data'!$K$2:$K$49,'Standings Data'!$A$2:$A$49="G"),1),3,11),"")</f>
        <v>G3</v>
      </c>
      <c r="Z5" s="15" t="str" cm="1">
        <f t="array" ref="Z5">IFERROR(INDEX(_xlfn.SORTBY(_xlfn._xlws.FILTER('Standings Data'!$B$2:$M$49,'Standings Data'!$A$2:$A$49="G"),_xlfn._xlws.FILTER('Standings Data'!$K$2:$K$49,'Standings Data'!$A$2:$A$49="G"),1),3,12),"")</f>
        <v>Third-place pool</v>
      </c>
      <c r="AA5" s="1"/>
      <c r="AB5" s="1"/>
      <c r="AC5" s="17">
        <f>'Standings Data'!O4</f>
        <v>3</v>
      </c>
      <c r="AD5" s="15" t="str">
        <f>'Standings Data'!P4</f>
        <v>Scotland</v>
      </c>
      <c r="AE5" s="17" t="str">
        <f>'Standings Data'!Q4</f>
        <v>C</v>
      </c>
      <c r="AF5" s="16">
        <f>'Standings Data'!R4</f>
        <v>3</v>
      </c>
      <c r="AG5" s="16">
        <f>'Standings Data'!S4</f>
        <v>-3</v>
      </c>
      <c r="AH5" s="16">
        <f>'Standings Data'!T4</f>
        <v>1</v>
      </c>
      <c r="AI5" s="15" t="str">
        <f>'Standings Data'!U4</f>
        <v>Likely advances</v>
      </c>
    </row>
    <row r="6" spans="1:35" x14ac:dyDescent="0.35">
      <c r="A6" s="15" t="str" cm="1">
        <f t="array" ref="A6">IFERROR(INDEX(_xlfn.SORTBY(_xlfn._xlws.FILTER('Standings Data'!$B$2:$M$49,'Standings Data'!$A$2:$A$49="A"),_xlfn._xlws.FILTER('Standings Data'!$K$2:$K$49,'Standings Data'!$A$2:$A$49="A"),1),4,1),"")</f>
        <v>Czechia</v>
      </c>
      <c r="B6" s="16" cm="1">
        <f t="array" ref="B6">IFERROR(INDEX(_xlfn.SORTBY(_xlfn._xlws.FILTER('Standings Data'!$B$2:$M$49,'Standings Data'!$A$2:$A$49="A"),_xlfn._xlws.FILTER('Standings Data'!$K$2:$K$49,'Standings Data'!$A$2:$A$49="A"),1),4,2),"")</f>
        <v>3</v>
      </c>
      <c r="C6" s="16" cm="1">
        <f t="array" ref="C6">IFERROR(INDEX(_xlfn.SORTBY(_xlfn._xlws.FILTER('Standings Data'!$B$2:$M$49,'Standings Data'!$A$2:$A$49="A"),_xlfn._xlws.FILTER('Standings Data'!$K$2:$K$49,'Standings Data'!$A$2:$A$49="A"),1),4,3),"")</f>
        <v>0</v>
      </c>
      <c r="D6" s="16" cm="1">
        <f t="array" ref="D6">IFERROR(INDEX(_xlfn.SORTBY(_xlfn._xlws.FILTER('Standings Data'!$B$2:$M$49,'Standings Data'!$A$2:$A$49="A"),_xlfn._xlws.FILTER('Standings Data'!$K$2:$K$49,'Standings Data'!$A$2:$A$49="A"),1),4,4),"")</f>
        <v>1</v>
      </c>
      <c r="E6" s="16" cm="1">
        <f t="array" ref="E6">IFERROR(INDEX(_xlfn.SORTBY(_xlfn._xlws.FILTER('Standings Data'!$B$2:$M$49,'Standings Data'!$A$2:$A$49="A"),_xlfn._xlws.FILTER('Standings Data'!$K$2:$K$49,'Standings Data'!$A$2:$A$49="A"),1),4,5),"")</f>
        <v>2</v>
      </c>
      <c r="F6" s="16" cm="1">
        <f t="array" ref="F6">IFERROR(INDEX(_xlfn.SORTBY(_xlfn._xlws.FILTER('Standings Data'!$B$2:$M$49,'Standings Data'!$A$2:$A$49="A"),_xlfn._xlws.FILTER('Standings Data'!$K$2:$K$49,'Standings Data'!$A$2:$A$49="A"),1),4,6),"")</f>
        <v>2</v>
      </c>
      <c r="G6" s="16" cm="1">
        <f t="array" ref="G6">IFERROR(INDEX(_xlfn.SORTBY(_xlfn._xlws.FILTER('Standings Data'!$B$2:$M$49,'Standings Data'!$A$2:$A$49="A"),_xlfn._xlws.FILTER('Standings Data'!$K$2:$K$49,'Standings Data'!$A$2:$A$49="A"),1),4,7),"")</f>
        <v>6</v>
      </c>
      <c r="H6" s="16" cm="1">
        <f t="array" ref="H6">IFERROR(INDEX(_xlfn.SORTBY(_xlfn._xlws.FILTER('Standings Data'!$B$2:$M$49,'Standings Data'!$A$2:$A$49="A"),_xlfn._xlws.FILTER('Standings Data'!$K$2:$K$49,'Standings Data'!$A$2:$A$49="A"),1),4,8),"")</f>
        <v>-4</v>
      </c>
      <c r="I6" s="16" cm="1">
        <f t="array" ref="I6">IFERROR(INDEX(_xlfn.SORTBY(_xlfn._xlws.FILTER('Standings Data'!$B$2:$M$49,'Standings Data'!$A$2:$A$49="A"),_xlfn._xlws.FILTER('Standings Data'!$K$2:$K$49,'Standings Data'!$A$2:$A$49="A"),1),4,9),"")</f>
        <v>1</v>
      </c>
      <c r="J6" s="16" cm="1">
        <f t="array" ref="J6">IFERROR(INDEX(_xlfn.SORTBY(_xlfn._xlws.FILTER('Standings Data'!$B$2:$M$49,'Standings Data'!$A$2:$A$49="A"),_xlfn._xlws.FILTER('Standings Data'!$K$2:$K$49,'Standings Data'!$A$2:$A$49="A"),1),4,10),"")</f>
        <v>4</v>
      </c>
      <c r="K6" s="17" t="str" cm="1">
        <f t="array" ref="K6">IFERROR(INDEX(_xlfn.SORTBY(_xlfn._xlws.FILTER('Standings Data'!$B$2:$M$49,'Standings Data'!$A$2:$A$49="A"),_xlfn._xlws.FILTER('Standings Data'!$K$2:$K$49,'Standings Data'!$A$2:$A$49="A"),1),4,11),"")</f>
        <v>A4</v>
      </c>
      <c r="L6" s="15" t="str" cm="1">
        <f t="array" ref="L6">IFERROR(INDEX(_xlfn.SORTBY(_xlfn._xlws.FILTER('Standings Data'!$B$2:$M$49,'Standings Data'!$A$2:$A$49="A"),_xlfn._xlws.FILTER('Standings Data'!$K$2:$K$49,'Standings Data'!$A$2:$A$49="A"),1),4,12),"")</f>
        <v/>
      </c>
      <c r="M6" s="1"/>
      <c r="N6" s="1"/>
      <c r="O6" s="15" t="str" cm="1">
        <f t="array" ref="O6">IFERROR(INDEX(_xlfn.SORTBY(_xlfn._xlws.FILTER('Standings Data'!$B$2:$M$49,'Standings Data'!$A$2:$A$49="G"),_xlfn._xlws.FILTER('Standings Data'!$K$2:$K$49,'Standings Data'!$A$2:$A$49="G"),1),4,1),"")</f>
        <v>New Zealand</v>
      </c>
      <c r="P6" s="16" cm="1">
        <f t="array" ref="P6">IFERROR(INDEX(_xlfn.SORTBY(_xlfn._xlws.FILTER('Standings Data'!$B$2:$M$49,'Standings Data'!$A$2:$A$49="G"),_xlfn._xlws.FILTER('Standings Data'!$K$2:$K$49,'Standings Data'!$A$2:$A$49="G"),1),4,2),"")</f>
        <v>3</v>
      </c>
      <c r="Q6" s="16" cm="1">
        <f t="array" ref="Q6">IFERROR(INDEX(_xlfn.SORTBY(_xlfn._xlws.FILTER('Standings Data'!$B$2:$M$49,'Standings Data'!$A$2:$A$49="G"),_xlfn._xlws.FILTER('Standings Data'!$K$2:$K$49,'Standings Data'!$A$2:$A$49="G"),1),4,3),"")</f>
        <v>0</v>
      </c>
      <c r="R6" s="16" cm="1">
        <f t="array" ref="R6">IFERROR(INDEX(_xlfn.SORTBY(_xlfn._xlws.FILTER('Standings Data'!$B$2:$M$49,'Standings Data'!$A$2:$A$49="G"),_xlfn._xlws.FILTER('Standings Data'!$K$2:$K$49,'Standings Data'!$A$2:$A$49="G"),1),4,4),"")</f>
        <v>1</v>
      </c>
      <c r="S6" s="16" cm="1">
        <f t="array" ref="S6">IFERROR(INDEX(_xlfn.SORTBY(_xlfn._xlws.FILTER('Standings Data'!$B$2:$M$49,'Standings Data'!$A$2:$A$49="G"),_xlfn._xlws.FILTER('Standings Data'!$K$2:$K$49,'Standings Data'!$A$2:$A$49="G"),1),4,5),"")</f>
        <v>2</v>
      </c>
      <c r="T6" s="16" cm="1">
        <f t="array" ref="T6">IFERROR(INDEX(_xlfn.SORTBY(_xlfn._xlws.FILTER('Standings Data'!$B$2:$M$49,'Standings Data'!$A$2:$A$49="G"),_xlfn._xlws.FILTER('Standings Data'!$K$2:$K$49,'Standings Data'!$A$2:$A$49="G"),1),4,6),"")</f>
        <v>4</v>
      </c>
      <c r="U6" s="16" cm="1">
        <f t="array" ref="U6">IFERROR(INDEX(_xlfn.SORTBY(_xlfn._xlws.FILTER('Standings Data'!$B$2:$M$49,'Standings Data'!$A$2:$A$49="G"),_xlfn._xlws.FILTER('Standings Data'!$K$2:$K$49,'Standings Data'!$A$2:$A$49="G"),1),4,7),"")</f>
        <v>10</v>
      </c>
      <c r="V6" s="16" cm="1">
        <f t="array" ref="V6">IFERROR(INDEX(_xlfn.SORTBY(_xlfn._xlws.FILTER('Standings Data'!$B$2:$M$49,'Standings Data'!$A$2:$A$49="G"),_xlfn._xlws.FILTER('Standings Data'!$K$2:$K$49,'Standings Data'!$A$2:$A$49="G"),1),4,8),"")</f>
        <v>-6</v>
      </c>
      <c r="W6" s="16" cm="1">
        <f t="array" ref="W6">IFERROR(INDEX(_xlfn.SORTBY(_xlfn._xlws.FILTER('Standings Data'!$B$2:$M$49,'Standings Data'!$A$2:$A$49="G"),_xlfn._xlws.FILTER('Standings Data'!$K$2:$K$49,'Standings Data'!$A$2:$A$49="G"),1),4,9),"")</f>
        <v>1</v>
      </c>
      <c r="X6" s="16" cm="1">
        <f t="array" ref="X6">IFERROR(INDEX(_xlfn.SORTBY(_xlfn._xlws.FILTER('Standings Data'!$B$2:$M$49,'Standings Data'!$A$2:$A$49="G"),_xlfn._xlws.FILTER('Standings Data'!$K$2:$K$49,'Standings Data'!$A$2:$A$49="G"),1),4,10),"")</f>
        <v>4</v>
      </c>
      <c r="Y6" s="17" t="str" cm="1">
        <f t="array" ref="Y6">IFERROR(INDEX(_xlfn.SORTBY(_xlfn._xlws.FILTER('Standings Data'!$B$2:$M$49,'Standings Data'!$A$2:$A$49="G"),_xlfn._xlws.FILTER('Standings Data'!$K$2:$K$49,'Standings Data'!$A$2:$A$49="G"),1),4,11),"")</f>
        <v>G4</v>
      </c>
      <c r="Z6" s="15" t="str" cm="1">
        <f t="array" ref="Z6">IFERROR(INDEX(_xlfn.SORTBY(_xlfn._xlws.FILTER('Standings Data'!$B$2:$M$49,'Standings Data'!$A$2:$A$49="G"),_xlfn._xlws.FILTER('Standings Data'!$K$2:$K$49,'Standings Data'!$A$2:$A$49="G"),1),4,12),"")</f>
        <v/>
      </c>
      <c r="AA6" s="1"/>
      <c r="AB6" s="1"/>
      <c r="AC6" s="17">
        <f>'Standings Data'!O5</f>
        <v>4</v>
      </c>
      <c r="AD6" s="15" t="str">
        <f>'Standings Data'!P5</f>
        <v>Paraguay</v>
      </c>
      <c r="AE6" s="17" t="str">
        <f>'Standings Data'!Q5</f>
        <v>D</v>
      </c>
      <c r="AF6" s="16">
        <f>'Standings Data'!R5</f>
        <v>4</v>
      </c>
      <c r="AG6" s="16">
        <f>'Standings Data'!S5</f>
        <v>-2</v>
      </c>
      <c r="AH6" s="16">
        <f>'Standings Data'!T5</f>
        <v>2</v>
      </c>
      <c r="AI6" s="15" t="str">
        <f>'Standings Data'!U5</f>
        <v>Likely advances</v>
      </c>
    </row>
    <row r="7" spans="1:3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7">
        <f>'Standings Data'!O6</f>
        <v>5</v>
      </c>
      <c r="AD7" s="15" t="str">
        <f>'Standings Data'!P6</f>
        <v>Ecuador</v>
      </c>
      <c r="AE7" s="17" t="str">
        <f>'Standings Data'!Q6</f>
        <v>E</v>
      </c>
      <c r="AF7" s="16">
        <f>'Standings Data'!R6</f>
        <v>4</v>
      </c>
      <c r="AG7" s="16">
        <f>'Standings Data'!S6</f>
        <v>0</v>
      </c>
      <c r="AH7" s="16">
        <f>'Standings Data'!T6</f>
        <v>2</v>
      </c>
      <c r="AI7" s="15" t="str">
        <f>'Standings Data'!U6</f>
        <v>Likely advances</v>
      </c>
    </row>
    <row r="8" spans="1:35" x14ac:dyDescent="0.35">
      <c r="A8" s="49" t="s">
        <v>209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1"/>
      <c r="N8" s="1"/>
      <c r="O8" s="49" t="s">
        <v>215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1"/>
      <c r="AB8" s="1"/>
      <c r="AC8" s="17">
        <f>'Standings Data'!O7</f>
        <v>6</v>
      </c>
      <c r="AD8" s="15" t="str">
        <f>'Standings Data'!P7</f>
        <v>Sweden</v>
      </c>
      <c r="AE8" s="17" t="str">
        <f>'Standings Data'!Q7</f>
        <v>F</v>
      </c>
      <c r="AF8" s="16">
        <f>'Standings Data'!R7</f>
        <v>4</v>
      </c>
      <c r="AG8" s="16">
        <f>'Standings Data'!S7</f>
        <v>0</v>
      </c>
      <c r="AH8" s="16">
        <f>'Standings Data'!T7</f>
        <v>7</v>
      </c>
      <c r="AI8" s="15" t="str">
        <f>'Standings Data'!U7</f>
        <v>Likely advances</v>
      </c>
    </row>
    <row r="9" spans="1:35" x14ac:dyDescent="0.35">
      <c r="A9" s="14" t="s">
        <v>13</v>
      </c>
      <c r="B9" s="14" t="s">
        <v>102</v>
      </c>
      <c r="C9" s="14" t="s">
        <v>103</v>
      </c>
      <c r="D9" s="14" t="s">
        <v>29</v>
      </c>
      <c r="E9" s="14" t="s">
        <v>69</v>
      </c>
      <c r="F9" s="14" t="s">
        <v>104</v>
      </c>
      <c r="G9" s="14" t="s">
        <v>105</v>
      </c>
      <c r="H9" s="14" t="s">
        <v>106</v>
      </c>
      <c r="I9" s="14" t="s">
        <v>107</v>
      </c>
      <c r="J9" s="14" t="s">
        <v>108</v>
      </c>
      <c r="K9" s="14" t="s">
        <v>109</v>
      </c>
      <c r="L9" s="14" t="s">
        <v>110</v>
      </c>
      <c r="M9" s="1"/>
      <c r="N9" s="1"/>
      <c r="O9" s="14" t="s">
        <v>13</v>
      </c>
      <c r="P9" s="14" t="s">
        <v>102</v>
      </c>
      <c r="Q9" s="14" t="s">
        <v>103</v>
      </c>
      <c r="R9" s="14" t="s">
        <v>29</v>
      </c>
      <c r="S9" s="14" t="s">
        <v>69</v>
      </c>
      <c r="T9" s="14" t="s">
        <v>104</v>
      </c>
      <c r="U9" s="14" t="s">
        <v>105</v>
      </c>
      <c r="V9" s="14" t="s">
        <v>106</v>
      </c>
      <c r="W9" s="14" t="s">
        <v>107</v>
      </c>
      <c r="X9" s="14" t="s">
        <v>108</v>
      </c>
      <c r="Y9" s="14" t="s">
        <v>109</v>
      </c>
      <c r="Z9" s="14" t="s">
        <v>110</v>
      </c>
      <c r="AA9" s="1"/>
      <c r="AB9" s="1"/>
      <c r="AC9" s="17">
        <f>'Standings Data'!O8</f>
        <v>7</v>
      </c>
      <c r="AD9" s="15" t="str">
        <f>'Standings Data'!P8</f>
        <v>IR Iran</v>
      </c>
      <c r="AE9" s="17" t="str">
        <f>'Standings Data'!Q8</f>
        <v>G</v>
      </c>
      <c r="AF9" s="16">
        <f>'Standings Data'!R8</f>
        <v>3</v>
      </c>
      <c r="AG9" s="16">
        <f>'Standings Data'!S8</f>
        <v>0</v>
      </c>
      <c r="AH9" s="16">
        <f>'Standings Data'!T8</f>
        <v>3</v>
      </c>
      <c r="AI9" s="15" t="str">
        <f>'Standings Data'!U8</f>
        <v>Likely advances</v>
      </c>
    </row>
    <row r="10" spans="1:35" x14ac:dyDescent="0.35">
      <c r="A10" s="15" t="str" cm="1">
        <f t="array" ref="A10">IFERROR(INDEX(_xlfn.SORTBY(_xlfn._xlws.FILTER('Standings Data'!$B$2:$M$49,'Standings Data'!$A$2:$A$49="B"),_xlfn._xlws.FILTER('Standings Data'!$K$2:$K$49,'Standings Data'!$A$2:$A$49="B"),1),1,1),"")</f>
        <v>Switzerland</v>
      </c>
      <c r="B10" s="16" cm="1">
        <f t="array" ref="B10">IFERROR(INDEX(_xlfn.SORTBY(_xlfn._xlws.FILTER('Standings Data'!$B$2:$M$49,'Standings Data'!$A$2:$A$49="B"),_xlfn._xlws.FILTER('Standings Data'!$K$2:$K$49,'Standings Data'!$A$2:$A$49="B"),1),1,2),"")</f>
        <v>3</v>
      </c>
      <c r="C10" s="16" cm="1">
        <f t="array" ref="C10">IFERROR(INDEX(_xlfn.SORTBY(_xlfn._xlws.FILTER('Standings Data'!$B$2:$M$49,'Standings Data'!$A$2:$A$49="B"),_xlfn._xlws.FILTER('Standings Data'!$K$2:$K$49,'Standings Data'!$A$2:$A$49="B"),1),1,3),"")</f>
        <v>2</v>
      </c>
      <c r="D10" s="16" cm="1">
        <f t="array" ref="D10">IFERROR(INDEX(_xlfn.SORTBY(_xlfn._xlws.FILTER('Standings Data'!$B$2:$M$49,'Standings Data'!$A$2:$A$49="B"),_xlfn._xlws.FILTER('Standings Data'!$K$2:$K$49,'Standings Data'!$A$2:$A$49="B"),1),1,4),"")</f>
        <v>1</v>
      </c>
      <c r="E10" s="16" cm="1">
        <f t="array" ref="E10">IFERROR(INDEX(_xlfn.SORTBY(_xlfn._xlws.FILTER('Standings Data'!$B$2:$M$49,'Standings Data'!$A$2:$A$49="B"),_xlfn._xlws.FILTER('Standings Data'!$K$2:$K$49,'Standings Data'!$A$2:$A$49="B"),1),1,5),"")</f>
        <v>0</v>
      </c>
      <c r="F10" s="16" cm="1">
        <f t="array" ref="F10">IFERROR(INDEX(_xlfn.SORTBY(_xlfn._xlws.FILTER('Standings Data'!$B$2:$M$49,'Standings Data'!$A$2:$A$49="B"),_xlfn._xlws.FILTER('Standings Data'!$K$2:$K$49,'Standings Data'!$A$2:$A$49="B"),1),1,6),"")</f>
        <v>7</v>
      </c>
      <c r="G10" s="16" cm="1">
        <f t="array" ref="G10">IFERROR(INDEX(_xlfn.SORTBY(_xlfn._xlws.FILTER('Standings Data'!$B$2:$M$49,'Standings Data'!$A$2:$A$49="B"),_xlfn._xlws.FILTER('Standings Data'!$K$2:$K$49,'Standings Data'!$A$2:$A$49="B"),1),1,7),"")</f>
        <v>3</v>
      </c>
      <c r="H10" s="16" cm="1">
        <f t="array" ref="H10">IFERROR(INDEX(_xlfn.SORTBY(_xlfn._xlws.FILTER('Standings Data'!$B$2:$M$49,'Standings Data'!$A$2:$A$49="B"),_xlfn._xlws.FILTER('Standings Data'!$K$2:$K$49,'Standings Data'!$A$2:$A$49="B"),1),1,8),"")</f>
        <v>4</v>
      </c>
      <c r="I10" s="16" cm="1">
        <f t="array" ref="I10">IFERROR(INDEX(_xlfn.SORTBY(_xlfn._xlws.FILTER('Standings Data'!$B$2:$M$49,'Standings Data'!$A$2:$A$49="B"),_xlfn._xlws.FILTER('Standings Data'!$K$2:$K$49,'Standings Data'!$A$2:$A$49="B"),1),1,9),"")</f>
        <v>7</v>
      </c>
      <c r="J10" s="16" cm="1">
        <f t="array" ref="J10">IFERROR(INDEX(_xlfn.SORTBY(_xlfn._xlws.FILTER('Standings Data'!$B$2:$M$49,'Standings Data'!$A$2:$A$49="B"),_xlfn._xlws.FILTER('Standings Data'!$K$2:$K$49,'Standings Data'!$A$2:$A$49="B"),1),1,10),"")</f>
        <v>1</v>
      </c>
      <c r="K10" s="17" t="str" cm="1">
        <f t="array" ref="K10">IFERROR(INDEX(_xlfn.SORTBY(_xlfn._xlws.FILTER('Standings Data'!$B$2:$M$49,'Standings Data'!$A$2:$A$49="B"),_xlfn._xlws.FILTER('Standings Data'!$K$2:$K$49,'Standings Data'!$A$2:$A$49="B"),1),1,11),"")</f>
        <v>B1</v>
      </c>
      <c r="L10" s="15" t="str" cm="1">
        <f t="array" ref="L10">IFERROR(INDEX(_xlfn.SORTBY(_xlfn._xlws.FILTER('Standings Data'!$B$2:$M$49,'Standings Data'!$A$2:$A$49="B"),_xlfn._xlws.FILTER('Standings Data'!$K$2:$K$49,'Standings Data'!$A$2:$A$49="B"),1),1,12),"")</f>
        <v>Qualified</v>
      </c>
      <c r="M10" s="1"/>
      <c r="N10" s="1"/>
      <c r="O10" s="15" t="str" cm="1">
        <f t="array" ref="O10">IFERROR(INDEX(_xlfn.SORTBY(_xlfn._xlws.FILTER('Standings Data'!$B$2:$M$49,'Standings Data'!$A$2:$A$49="H"),_xlfn._xlws.FILTER('Standings Data'!$K$2:$K$49,'Standings Data'!$A$2:$A$49="H"),1),1,1),"")</f>
        <v>Spain</v>
      </c>
      <c r="P10" s="16" cm="1">
        <f t="array" ref="P10">IFERROR(INDEX(_xlfn.SORTBY(_xlfn._xlws.FILTER('Standings Data'!$B$2:$M$49,'Standings Data'!$A$2:$A$49="H"),_xlfn._xlws.FILTER('Standings Data'!$K$2:$K$49,'Standings Data'!$A$2:$A$49="H"),1),1,2),"")</f>
        <v>3</v>
      </c>
      <c r="Q10" s="16" cm="1">
        <f t="array" ref="Q10">IFERROR(INDEX(_xlfn.SORTBY(_xlfn._xlws.FILTER('Standings Data'!$B$2:$M$49,'Standings Data'!$A$2:$A$49="H"),_xlfn._xlws.FILTER('Standings Data'!$K$2:$K$49,'Standings Data'!$A$2:$A$49="H"),1),1,3),"")</f>
        <v>2</v>
      </c>
      <c r="R10" s="16" cm="1">
        <f t="array" ref="R10">IFERROR(INDEX(_xlfn.SORTBY(_xlfn._xlws.FILTER('Standings Data'!$B$2:$M$49,'Standings Data'!$A$2:$A$49="H"),_xlfn._xlws.FILTER('Standings Data'!$K$2:$K$49,'Standings Data'!$A$2:$A$49="H"),1),1,4),"")</f>
        <v>1</v>
      </c>
      <c r="S10" s="16" cm="1">
        <f t="array" ref="S10">IFERROR(INDEX(_xlfn.SORTBY(_xlfn._xlws.FILTER('Standings Data'!$B$2:$M$49,'Standings Data'!$A$2:$A$49="H"),_xlfn._xlws.FILTER('Standings Data'!$K$2:$K$49,'Standings Data'!$A$2:$A$49="H"),1),1,5),"")</f>
        <v>0</v>
      </c>
      <c r="T10" s="16" cm="1">
        <f t="array" ref="T10">IFERROR(INDEX(_xlfn.SORTBY(_xlfn._xlws.FILTER('Standings Data'!$B$2:$M$49,'Standings Data'!$A$2:$A$49="H"),_xlfn._xlws.FILTER('Standings Data'!$K$2:$K$49,'Standings Data'!$A$2:$A$49="H"),1),1,6),"")</f>
        <v>5</v>
      </c>
      <c r="U10" s="16" cm="1">
        <f t="array" ref="U10">IFERROR(INDEX(_xlfn.SORTBY(_xlfn._xlws.FILTER('Standings Data'!$B$2:$M$49,'Standings Data'!$A$2:$A$49="H"),_xlfn._xlws.FILTER('Standings Data'!$K$2:$K$49,'Standings Data'!$A$2:$A$49="H"),1),1,7),"")</f>
        <v>0</v>
      </c>
      <c r="V10" s="16" cm="1">
        <f t="array" ref="V10">IFERROR(INDEX(_xlfn.SORTBY(_xlfn._xlws.FILTER('Standings Data'!$B$2:$M$49,'Standings Data'!$A$2:$A$49="H"),_xlfn._xlws.FILTER('Standings Data'!$K$2:$K$49,'Standings Data'!$A$2:$A$49="H"),1),1,8),"")</f>
        <v>5</v>
      </c>
      <c r="W10" s="16" cm="1">
        <f t="array" ref="W10">IFERROR(INDEX(_xlfn.SORTBY(_xlfn._xlws.FILTER('Standings Data'!$B$2:$M$49,'Standings Data'!$A$2:$A$49="H"),_xlfn._xlws.FILTER('Standings Data'!$K$2:$K$49,'Standings Data'!$A$2:$A$49="H"),1),1,9),"")</f>
        <v>7</v>
      </c>
      <c r="X10" s="16" cm="1">
        <f t="array" ref="X10">IFERROR(INDEX(_xlfn.SORTBY(_xlfn._xlws.FILTER('Standings Data'!$B$2:$M$49,'Standings Data'!$A$2:$A$49="H"),_xlfn._xlws.FILTER('Standings Data'!$K$2:$K$49,'Standings Data'!$A$2:$A$49="H"),1),1,10),"")</f>
        <v>1</v>
      </c>
      <c r="Y10" s="17" t="str" cm="1">
        <f t="array" ref="Y10">IFERROR(INDEX(_xlfn.SORTBY(_xlfn._xlws.FILTER('Standings Data'!$B$2:$M$49,'Standings Data'!$A$2:$A$49="H"),_xlfn._xlws.FILTER('Standings Data'!$K$2:$K$49,'Standings Data'!$A$2:$A$49="H"),1),1,11),"")</f>
        <v>H1</v>
      </c>
      <c r="Z10" s="15" t="str" cm="1">
        <f t="array" ref="Z10">IFERROR(INDEX(_xlfn.SORTBY(_xlfn._xlws.FILTER('Standings Data'!$B$2:$M$49,'Standings Data'!$A$2:$A$49="H"),_xlfn._xlws.FILTER('Standings Data'!$K$2:$K$49,'Standings Data'!$A$2:$A$49="H"),1),1,12),"")</f>
        <v>Qualified</v>
      </c>
      <c r="AA10" s="1"/>
      <c r="AB10" s="1"/>
      <c r="AC10" s="17">
        <f>'Standings Data'!O9</f>
        <v>8</v>
      </c>
      <c r="AD10" s="15" t="str">
        <f>'Standings Data'!P9</f>
        <v>Uruguay</v>
      </c>
      <c r="AE10" s="17" t="str">
        <f>'Standings Data'!Q9</f>
        <v>H</v>
      </c>
      <c r="AF10" s="16">
        <f>'Standings Data'!R9</f>
        <v>2</v>
      </c>
      <c r="AG10" s="16">
        <f>'Standings Data'!S9</f>
        <v>-1</v>
      </c>
      <c r="AH10" s="16">
        <f>'Standings Data'!T9</f>
        <v>3</v>
      </c>
      <c r="AI10" s="15" t="str">
        <f>'Standings Data'!U9</f>
        <v>Watch</v>
      </c>
    </row>
    <row r="11" spans="1:35" x14ac:dyDescent="0.35">
      <c r="A11" s="15" t="str" cm="1">
        <f t="array" ref="A11">IFERROR(INDEX(_xlfn.SORTBY(_xlfn._xlws.FILTER('Standings Data'!$B$2:$M$49,'Standings Data'!$A$2:$A$49="B"),_xlfn._xlws.FILTER('Standings Data'!$K$2:$K$49,'Standings Data'!$A$2:$A$49="B"),1),2,1),"")</f>
        <v>Canada</v>
      </c>
      <c r="B11" s="16" cm="1">
        <f t="array" ref="B11">IFERROR(INDEX(_xlfn.SORTBY(_xlfn._xlws.FILTER('Standings Data'!$B$2:$M$49,'Standings Data'!$A$2:$A$49="B"),_xlfn._xlws.FILTER('Standings Data'!$K$2:$K$49,'Standings Data'!$A$2:$A$49="B"),1),2,2),"")</f>
        <v>3</v>
      </c>
      <c r="C11" s="16" cm="1">
        <f t="array" ref="C11">IFERROR(INDEX(_xlfn.SORTBY(_xlfn._xlws.FILTER('Standings Data'!$B$2:$M$49,'Standings Data'!$A$2:$A$49="B"),_xlfn._xlws.FILTER('Standings Data'!$K$2:$K$49,'Standings Data'!$A$2:$A$49="B"),1),2,3),"")</f>
        <v>1</v>
      </c>
      <c r="D11" s="16" cm="1">
        <f t="array" ref="D11">IFERROR(INDEX(_xlfn.SORTBY(_xlfn._xlws.FILTER('Standings Data'!$B$2:$M$49,'Standings Data'!$A$2:$A$49="B"),_xlfn._xlws.FILTER('Standings Data'!$K$2:$K$49,'Standings Data'!$A$2:$A$49="B"),1),2,4),"")</f>
        <v>1</v>
      </c>
      <c r="E11" s="16" cm="1">
        <f t="array" ref="E11">IFERROR(INDEX(_xlfn.SORTBY(_xlfn._xlws.FILTER('Standings Data'!$B$2:$M$49,'Standings Data'!$A$2:$A$49="B"),_xlfn._xlws.FILTER('Standings Data'!$K$2:$K$49,'Standings Data'!$A$2:$A$49="B"),1),2,5),"")</f>
        <v>1</v>
      </c>
      <c r="F11" s="16" cm="1">
        <f t="array" ref="F11">IFERROR(INDEX(_xlfn.SORTBY(_xlfn._xlws.FILTER('Standings Data'!$B$2:$M$49,'Standings Data'!$A$2:$A$49="B"),_xlfn._xlws.FILTER('Standings Data'!$K$2:$K$49,'Standings Data'!$A$2:$A$49="B"),1),2,6),"")</f>
        <v>8</v>
      </c>
      <c r="G11" s="16" cm="1">
        <f t="array" ref="G11">IFERROR(INDEX(_xlfn.SORTBY(_xlfn._xlws.FILTER('Standings Data'!$B$2:$M$49,'Standings Data'!$A$2:$A$49="B"),_xlfn._xlws.FILTER('Standings Data'!$K$2:$K$49,'Standings Data'!$A$2:$A$49="B"),1),2,7),"")</f>
        <v>3</v>
      </c>
      <c r="H11" s="16" cm="1">
        <f t="array" ref="H11">IFERROR(INDEX(_xlfn.SORTBY(_xlfn._xlws.FILTER('Standings Data'!$B$2:$M$49,'Standings Data'!$A$2:$A$49="B"),_xlfn._xlws.FILTER('Standings Data'!$K$2:$K$49,'Standings Data'!$A$2:$A$49="B"),1),2,8),"")</f>
        <v>5</v>
      </c>
      <c r="I11" s="16" cm="1">
        <f t="array" ref="I11">IFERROR(INDEX(_xlfn.SORTBY(_xlfn._xlws.FILTER('Standings Data'!$B$2:$M$49,'Standings Data'!$A$2:$A$49="B"),_xlfn._xlws.FILTER('Standings Data'!$K$2:$K$49,'Standings Data'!$A$2:$A$49="B"),1),2,9),"")</f>
        <v>4</v>
      </c>
      <c r="J11" s="16" cm="1">
        <f t="array" ref="J11">IFERROR(INDEX(_xlfn.SORTBY(_xlfn._xlws.FILTER('Standings Data'!$B$2:$M$49,'Standings Data'!$A$2:$A$49="B"),_xlfn._xlws.FILTER('Standings Data'!$K$2:$K$49,'Standings Data'!$A$2:$A$49="B"),1),2,10),"")</f>
        <v>2</v>
      </c>
      <c r="K11" s="17" t="str" cm="1">
        <f t="array" ref="K11">IFERROR(INDEX(_xlfn.SORTBY(_xlfn._xlws.FILTER('Standings Data'!$B$2:$M$49,'Standings Data'!$A$2:$A$49="B"),_xlfn._xlws.FILTER('Standings Data'!$K$2:$K$49,'Standings Data'!$A$2:$A$49="B"),1),2,11),"")</f>
        <v>B2</v>
      </c>
      <c r="L11" s="15" t="str" cm="1">
        <f t="array" ref="L11">IFERROR(INDEX(_xlfn.SORTBY(_xlfn._xlws.FILTER('Standings Data'!$B$2:$M$49,'Standings Data'!$A$2:$A$49="B"),_xlfn._xlws.FILTER('Standings Data'!$K$2:$K$49,'Standings Data'!$A$2:$A$49="B"),1),2,12),"")</f>
        <v>Qualified</v>
      </c>
      <c r="M11" s="1"/>
      <c r="N11" s="1"/>
      <c r="O11" s="15" t="str" cm="1">
        <f t="array" ref="O11">IFERROR(INDEX(_xlfn.SORTBY(_xlfn._xlws.FILTER('Standings Data'!$B$2:$M$49,'Standings Data'!$A$2:$A$49="H"),_xlfn._xlws.FILTER('Standings Data'!$K$2:$K$49,'Standings Data'!$A$2:$A$49="H"),1),2,1),"")</f>
        <v>Cabo Verde</v>
      </c>
      <c r="P11" s="16" cm="1">
        <f t="array" ref="P11">IFERROR(INDEX(_xlfn.SORTBY(_xlfn._xlws.FILTER('Standings Data'!$B$2:$M$49,'Standings Data'!$A$2:$A$49="H"),_xlfn._xlws.FILTER('Standings Data'!$K$2:$K$49,'Standings Data'!$A$2:$A$49="H"),1),2,2),"")</f>
        <v>3</v>
      </c>
      <c r="Q11" s="16" cm="1">
        <f t="array" ref="Q11">IFERROR(INDEX(_xlfn.SORTBY(_xlfn._xlws.FILTER('Standings Data'!$B$2:$M$49,'Standings Data'!$A$2:$A$49="H"),_xlfn._xlws.FILTER('Standings Data'!$K$2:$K$49,'Standings Data'!$A$2:$A$49="H"),1),2,3),"")</f>
        <v>0</v>
      </c>
      <c r="R11" s="16" cm="1">
        <f t="array" ref="R11">IFERROR(INDEX(_xlfn.SORTBY(_xlfn._xlws.FILTER('Standings Data'!$B$2:$M$49,'Standings Data'!$A$2:$A$49="H"),_xlfn._xlws.FILTER('Standings Data'!$K$2:$K$49,'Standings Data'!$A$2:$A$49="H"),1),2,4),"")</f>
        <v>3</v>
      </c>
      <c r="S11" s="16" cm="1">
        <f t="array" ref="S11">IFERROR(INDEX(_xlfn.SORTBY(_xlfn._xlws.FILTER('Standings Data'!$B$2:$M$49,'Standings Data'!$A$2:$A$49="H"),_xlfn._xlws.FILTER('Standings Data'!$K$2:$K$49,'Standings Data'!$A$2:$A$49="H"),1),2,5),"")</f>
        <v>0</v>
      </c>
      <c r="T11" s="16" cm="1">
        <f t="array" ref="T11">IFERROR(INDEX(_xlfn.SORTBY(_xlfn._xlws.FILTER('Standings Data'!$B$2:$M$49,'Standings Data'!$A$2:$A$49="H"),_xlfn._xlws.FILTER('Standings Data'!$K$2:$K$49,'Standings Data'!$A$2:$A$49="H"),1),2,6),"")</f>
        <v>2</v>
      </c>
      <c r="U11" s="16" cm="1">
        <f t="array" ref="U11">IFERROR(INDEX(_xlfn.SORTBY(_xlfn._xlws.FILTER('Standings Data'!$B$2:$M$49,'Standings Data'!$A$2:$A$49="H"),_xlfn._xlws.FILTER('Standings Data'!$K$2:$K$49,'Standings Data'!$A$2:$A$49="H"),1),2,7),"")</f>
        <v>2</v>
      </c>
      <c r="V11" s="16" cm="1">
        <f t="array" ref="V11">IFERROR(INDEX(_xlfn.SORTBY(_xlfn._xlws.FILTER('Standings Data'!$B$2:$M$49,'Standings Data'!$A$2:$A$49="H"),_xlfn._xlws.FILTER('Standings Data'!$K$2:$K$49,'Standings Data'!$A$2:$A$49="H"),1),2,8),"")</f>
        <v>0</v>
      </c>
      <c r="W11" s="16" cm="1">
        <f t="array" ref="W11">IFERROR(INDEX(_xlfn.SORTBY(_xlfn._xlws.FILTER('Standings Data'!$B$2:$M$49,'Standings Data'!$A$2:$A$49="H"),_xlfn._xlws.FILTER('Standings Data'!$K$2:$K$49,'Standings Data'!$A$2:$A$49="H"),1),2,9),"")</f>
        <v>3</v>
      </c>
      <c r="X11" s="16" cm="1">
        <f t="array" ref="X11">IFERROR(INDEX(_xlfn.SORTBY(_xlfn._xlws.FILTER('Standings Data'!$B$2:$M$49,'Standings Data'!$A$2:$A$49="H"),_xlfn._xlws.FILTER('Standings Data'!$K$2:$K$49,'Standings Data'!$A$2:$A$49="H"),1),2,10),"")</f>
        <v>2</v>
      </c>
      <c r="Y11" s="17" t="str" cm="1">
        <f t="array" ref="Y11">IFERROR(INDEX(_xlfn.SORTBY(_xlfn._xlws.FILTER('Standings Data'!$B$2:$M$49,'Standings Data'!$A$2:$A$49="H"),_xlfn._xlws.FILTER('Standings Data'!$K$2:$K$49,'Standings Data'!$A$2:$A$49="H"),1),2,11),"")</f>
        <v>H2</v>
      </c>
      <c r="Z11" s="15" t="str" cm="1">
        <f t="array" ref="Z11">IFERROR(INDEX(_xlfn.SORTBY(_xlfn._xlws.FILTER('Standings Data'!$B$2:$M$49,'Standings Data'!$A$2:$A$49="H"),_xlfn._xlws.FILTER('Standings Data'!$K$2:$K$49,'Standings Data'!$A$2:$A$49="H"),1),2,12),"")</f>
        <v>Qualified</v>
      </c>
      <c r="AA11" s="1"/>
      <c r="AB11" s="1"/>
      <c r="AC11" s="17">
        <f>'Standings Data'!O10</f>
        <v>9</v>
      </c>
      <c r="AD11" s="15" t="str">
        <f>'Standings Data'!P10</f>
        <v>Senegal</v>
      </c>
      <c r="AE11" s="17" t="str">
        <f>'Standings Data'!Q10</f>
        <v>I</v>
      </c>
      <c r="AF11" s="16">
        <f>'Standings Data'!R10</f>
        <v>3</v>
      </c>
      <c r="AG11" s="16">
        <f>'Standings Data'!S10</f>
        <v>2</v>
      </c>
      <c r="AH11" s="16">
        <f>'Standings Data'!T10</f>
        <v>8</v>
      </c>
      <c r="AI11" s="15" t="str">
        <f>'Standings Data'!U10</f>
        <v>Likely advances</v>
      </c>
    </row>
    <row r="12" spans="1:35" x14ac:dyDescent="0.35">
      <c r="A12" s="15" t="str" cm="1">
        <f t="array" ref="A12">IFERROR(INDEX(_xlfn.SORTBY(_xlfn._xlws.FILTER('Standings Data'!$B$2:$M$49,'Standings Data'!$A$2:$A$49="B"),_xlfn._xlws.FILTER('Standings Data'!$K$2:$K$49,'Standings Data'!$A$2:$A$49="B"),1),3,1),"")</f>
        <v>Bosnia and Herzegovina</v>
      </c>
      <c r="B12" s="16" cm="1">
        <f t="array" ref="B12">IFERROR(INDEX(_xlfn.SORTBY(_xlfn._xlws.FILTER('Standings Data'!$B$2:$M$49,'Standings Data'!$A$2:$A$49="B"),_xlfn._xlws.FILTER('Standings Data'!$K$2:$K$49,'Standings Data'!$A$2:$A$49="B"),1),3,2),"")</f>
        <v>3</v>
      </c>
      <c r="C12" s="16" cm="1">
        <f t="array" ref="C12">IFERROR(INDEX(_xlfn.SORTBY(_xlfn._xlws.FILTER('Standings Data'!$B$2:$M$49,'Standings Data'!$A$2:$A$49="B"),_xlfn._xlws.FILTER('Standings Data'!$K$2:$K$49,'Standings Data'!$A$2:$A$49="B"),1),3,3),"")</f>
        <v>1</v>
      </c>
      <c r="D12" s="16" cm="1">
        <f t="array" ref="D12">IFERROR(INDEX(_xlfn.SORTBY(_xlfn._xlws.FILTER('Standings Data'!$B$2:$M$49,'Standings Data'!$A$2:$A$49="B"),_xlfn._xlws.FILTER('Standings Data'!$K$2:$K$49,'Standings Data'!$A$2:$A$49="B"),1),3,4),"")</f>
        <v>1</v>
      </c>
      <c r="E12" s="16" cm="1">
        <f t="array" ref="E12">IFERROR(INDEX(_xlfn.SORTBY(_xlfn._xlws.FILTER('Standings Data'!$B$2:$M$49,'Standings Data'!$A$2:$A$49="B"),_xlfn._xlws.FILTER('Standings Data'!$K$2:$K$49,'Standings Data'!$A$2:$A$49="B"),1),3,5),"")</f>
        <v>1</v>
      </c>
      <c r="F12" s="16" cm="1">
        <f t="array" ref="F12">IFERROR(INDEX(_xlfn.SORTBY(_xlfn._xlws.FILTER('Standings Data'!$B$2:$M$49,'Standings Data'!$A$2:$A$49="B"),_xlfn._xlws.FILTER('Standings Data'!$K$2:$K$49,'Standings Data'!$A$2:$A$49="B"),1),3,6),"")</f>
        <v>5</v>
      </c>
      <c r="G12" s="16" cm="1">
        <f t="array" ref="G12">IFERROR(INDEX(_xlfn.SORTBY(_xlfn._xlws.FILTER('Standings Data'!$B$2:$M$49,'Standings Data'!$A$2:$A$49="B"),_xlfn._xlws.FILTER('Standings Data'!$K$2:$K$49,'Standings Data'!$A$2:$A$49="B"),1),3,7),"")</f>
        <v>6</v>
      </c>
      <c r="H12" s="16" cm="1">
        <f t="array" ref="H12">IFERROR(INDEX(_xlfn.SORTBY(_xlfn._xlws.FILTER('Standings Data'!$B$2:$M$49,'Standings Data'!$A$2:$A$49="B"),_xlfn._xlws.FILTER('Standings Data'!$K$2:$K$49,'Standings Data'!$A$2:$A$49="B"),1),3,8),"")</f>
        <v>-1</v>
      </c>
      <c r="I12" s="16" cm="1">
        <f t="array" ref="I12">IFERROR(INDEX(_xlfn.SORTBY(_xlfn._xlws.FILTER('Standings Data'!$B$2:$M$49,'Standings Data'!$A$2:$A$49="B"),_xlfn._xlws.FILTER('Standings Data'!$K$2:$K$49,'Standings Data'!$A$2:$A$49="B"),1),3,9),"")</f>
        <v>4</v>
      </c>
      <c r="J12" s="16" cm="1">
        <f t="array" ref="J12">IFERROR(INDEX(_xlfn.SORTBY(_xlfn._xlws.FILTER('Standings Data'!$B$2:$M$49,'Standings Data'!$A$2:$A$49="B"),_xlfn._xlws.FILTER('Standings Data'!$K$2:$K$49,'Standings Data'!$A$2:$A$49="B"),1),3,10),"")</f>
        <v>3</v>
      </c>
      <c r="K12" s="17" t="str" cm="1">
        <f t="array" ref="K12">IFERROR(INDEX(_xlfn.SORTBY(_xlfn._xlws.FILTER('Standings Data'!$B$2:$M$49,'Standings Data'!$A$2:$A$49="B"),_xlfn._xlws.FILTER('Standings Data'!$K$2:$K$49,'Standings Data'!$A$2:$A$49="B"),1),3,11),"")</f>
        <v>B3</v>
      </c>
      <c r="L12" s="15" t="str" cm="1">
        <f t="array" ref="L12">IFERROR(INDEX(_xlfn.SORTBY(_xlfn._xlws.FILTER('Standings Data'!$B$2:$M$49,'Standings Data'!$A$2:$A$49="B"),_xlfn._xlws.FILTER('Standings Data'!$K$2:$K$49,'Standings Data'!$A$2:$A$49="B"),1),3,12),"")</f>
        <v>Third-place pool</v>
      </c>
      <c r="M12" s="1"/>
      <c r="N12" s="1"/>
      <c r="O12" s="15" t="str" cm="1">
        <f t="array" ref="O12">IFERROR(INDEX(_xlfn.SORTBY(_xlfn._xlws.FILTER('Standings Data'!$B$2:$M$49,'Standings Data'!$A$2:$A$49="H"),_xlfn._xlws.FILTER('Standings Data'!$K$2:$K$49,'Standings Data'!$A$2:$A$49="H"),1),3,1),"")</f>
        <v>Uruguay</v>
      </c>
      <c r="P12" s="16" cm="1">
        <f t="array" ref="P12">IFERROR(INDEX(_xlfn.SORTBY(_xlfn._xlws.FILTER('Standings Data'!$B$2:$M$49,'Standings Data'!$A$2:$A$49="H"),_xlfn._xlws.FILTER('Standings Data'!$K$2:$K$49,'Standings Data'!$A$2:$A$49="H"),1),3,2),"")</f>
        <v>3</v>
      </c>
      <c r="Q12" s="16" cm="1">
        <f t="array" ref="Q12">IFERROR(INDEX(_xlfn.SORTBY(_xlfn._xlws.FILTER('Standings Data'!$B$2:$M$49,'Standings Data'!$A$2:$A$49="H"),_xlfn._xlws.FILTER('Standings Data'!$K$2:$K$49,'Standings Data'!$A$2:$A$49="H"),1),3,3),"")</f>
        <v>0</v>
      </c>
      <c r="R12" s="16" cm="1">
        <f t="array" ref="R12">IFERROR(INDEX(_xlfn.SORTBY(_xlfn._xlws.FILTER('Standings Data'!$B$2:$M$49,'Standings Data'!$A$2:$A$49="H"),_xlfn._xlws.FILTER('Standings Data'!$K$2:$K$49,'Standings Data'!$A$2:$A$49="H"),1),3,4),"")</f>
        <v>2</v>
      </c>
      <c r="S12" s="16" cm="1">
        <f t="array" ref="S12">IFERROR(INDEX(_xlfn.SORTBY(_xlfn._xlws.FILTER('Standings Data'!$B$2:$M$49,'Standings Data'!$A$2:$A$49="H"),_xlfn._xlws.FILTER('Standings Data'!$K$2:$K$49,'Standings Data'!$A$2:$A$49="H"),1),3,5),"")</f>
        <v>1</v>
      </c>
      <c r="T12" s="16" cm="1">
        <f t="array" ref="T12">IFERROR(INDEX(_xlfn.SORTBY(_xlfn._xlws.FILTER('Standings Data'!$B$2:$M$49,'Standings Data'!$A$2:$A$49="H"),_xlfn._xlws.FILTER('Standings Data'!$K$2:$K$49,'Standings Data'!$A$2:$A$49="H"),1),3,6),"")</f>
        <v>3</v>
      </c>
      <c r="U12" s="16" cm="1">
        <f t="array" ref="U12">IFERROR(INDEX(_xlfn.SORTBY(_xlfn._xlws.FILTER('Standings Data'!$B$2:$M$49,'Standings Data'!$A$2:$A$49="H"),_xlfn._xlws.FILTER('Standings Data'!$K$2:$K$49,'Standings Data'!$A$2:$A$49="H"),1),3,7),"")</f>
        <v>4</v>
      </c>
      <c r="V12" s="16" cm="1">
        <f t="array" ref="V12">IFERROR(INDEX(_xlfn.SORTBY(_xlfn._xlws.FILTER('Standings Data'!$B$2:$M$49,'Standings Data'!$A$2:$A$49="H"),_xlfn._xlws.FILTER('Standings Data'!$K$2:$K$49,'Standings Data'!$A$2:$A$49="H"),1),3,8),"")</f>
        <v>-1</v>
      </c>
      <c r="W12" s="16" cm="1">
        <f t="array" ref="W12">IFERROR(INDEX(_xlfn.SORTBY(_xlfn._xlws.FILTER('Standings Data'!$B$2:$M$49,'Standings Data'!$A$2:$A$49="H"),_xlfn._xlws.FILTER('Standings Data'!$K$2:$K$49,'Standings Data'!$A$2:$A$49="H"),1),3,9),"")</f>
        <v>2</v>
      </c>
      <c r="X12" s="16" cm="1">
        <f t="array" ref="X12">IFERROR(INDEX(_xlfn.SORTBY(_xlfn._xlws.FILTER('Standings Data'!$B$2:$M$49,'Standings Data'!$A$2:$A$49="H"),_xlfn._xlws.FILTER('Standings Data'!$K$2:$K$49,'Standings Data'!$A$2:$A$49="H"),1),3,10),"")</f>
        <v>3</v>
      </c>
      <c r="Y12" s="17" t="str" cm="1">
        <f t="array" ref="Y12">IFERROR(INDEX(_xlfn.SORTBY(_xlfn._xlws.FILTER('Standings Data'!$B$2:$M$49,'Standings Data'!$A$2:$A$49="H"),_xlfn._xlws.FILTER('Standings Data'!$K$2:$K$49,'Standings Data'!$A$2:$A$49="H"),1),3,11),"")</f>
        <v>H3</v>
      </c>
      <c r="Z12" s="15" t="str" cm="1">
        <f t="array" ref="Z12">IFERROR(INDEX(_xlfn.SORTBY(_xlfn._xlws.FILTER('Standings Data'!$B$2:$M$49,'Standings Data'!$A$2:$A$49="H"),_xlfn._xlws.FILTER('Standings Data'!$K$2:$K$49,'Standings Data'!$A$2:$A$49="H"),1),3,12),"")</f>
        <v>Third-place pool</v>
      </c>
      <c r="AA12" s="1"/>
      <c r="AB12" s="1"/>
      <c r="AC12" s="17">
        <f>'Standings Data'!O11</f>
        <v>10</v>
      </c>
      <c r="AD12" s="15" t="str">
        <f>'Standings Data'!P11</f>
        <v>Algeria</v>
      </c>
      <c r="AE12" s="17" t="str">
        <f>'Standings Data'!Q11</f>
        <v>J</v>
      </c>
      <c r="AF12" s="16">
        <f>'Standings Data'!R11</f>
        <v>4</v>
      </c>
      <c r="AG12" s="16">
        <f>'Standings Data'!S11</f>
        <v>-2</v>
      </c>
      <c r="AH12" s="16">
        <f>'Standings Data'!T11</f>
        <v>5</v>
      </c>
      <c r="AI12" s="15" t="str">
        <f>'Standings Data'!U11</f>
        <v>Likely advances</v>
      </c>
    </row>
    <row r="13" spans="1:35" x14ac:dyDescent="0.35">
      <c r="A13" s="15" t="str" cm="1">
        <f t="array" ref="A13">IFERROR(INDEX(_xlfn.SORTBY(_xlfn._xlws.FILTER('Standings Data'!$B$2:$M$49,'Standings Data'!$A$2:$A$49="B"),_xlfn._xlws.FILTER('Standings Data'!$K$2:$K$49,'Standings Data'!$A$2:$A$49="B"),1),4,1),"")</f>
        <v>Qatar</v>
      </c>
      <c r="B13" s="16" cm="1">
        <f t="array" ref="B13">IFERROR(INDEX(_xlfn.SORTBY(_xlfn._xlws.FILTER('Standings Data'!$B$2:$M$49,'Standings Data'!$A$2:$A$49="B"),_xlfn._xlws.FILTER('Standings Data'!$K$2:$K$49,'Standings Data'!$A$2:$A$49="B"),1),4,2),"")</f>
        <v>3</v>
      </c>
      <c r="C13" s="16" cm="1">
        <f t="array" ref="C13">IFERROR(INDEX(_xlfn.SORTBY(_xlfn._xlws.FILTER('Standings Data'!$B$2:$M$49,'Standings Data'!$A$2:$A$49="B"),_xlfn._xlws.FILTER('Standings Data'!$K$2:$K$49,'Standings Data'!$A$2:$A$49="B"),1),4,3),"")</f>
        <v>0</v>
      </c>
      <c r="D13" s="16" cm="1">
        <f t="array" ref="D13">IFERROR(INDEX(_xlfn.SORTBY(_xlfn._xlws.FILTER('Standings Data'!$B$2:$M$49,'Standings Data'!$A$2:$A$49="B"),_xlfn._xlws.FILTER('Standings Data'!$K$2:$K$49,'Standings Data'!$A$2:$A$49="B"),1),4,4),"")</f>
        <v>1</v>
      </c>
      <c r="E13" s="16" cm="1">
        <f t="array" ref="E13">IFERROR(INDEX(_xlfn.SORTBY(_xlfn._xlws.FILTER('Standings Data'!$B$2:$M$49,'Standings Data'!$A$2:$A$49="B"),_xlfn._xlws.FILTER('Standings Data'!$K$2:$K$49,'Standings Data'!$A$2:$A$49="B"),1),4,5),"")</f>
        <v>2</v>
      </c>
      <c r="F13" s="16" cm="1">
        <f t="array" ref="F13">IFERROR(INDEX(_xlfn.SORTBY(_xlfn._xlws.FILTER('Standings Data'!$B$2:$M$49,'Standings Data'!$A$2:$A$49="B"),_xlfn._xlws.FILTER('Standings Data'!$K$2:$K$49,'Standings Data'!$A$2:$A$49="B"),1),4,6),"")</f>
        <v>2</v>
      </c>
      <c r="G13" s="16" cm="1">
        <f t="array" ref="G13">IFERROR(INDEX(_xlfn.SORTBY(_xlfn._xlws.FILTER('Standings Data'!$B$2:$M$49,'Standings Data'!$A$2:$A$49="B"),_xlfn._xlws.FILTER('Standings Data'!$K$2:$K$49,'Standings Data'!$A$2:$A$49="B"),1),4,7),"")</f>
        <v>10</v>
      </c>
      <c r="H13" s="16" cm="1">
        <f t="array" ref="H13">IFERROR(INDEX(_xlfn.SORTBY(_xlfn._xlws.FILTER('Standings Data'!$B$2:$M$49,'Standings Data'!$A$2:$A$49="B"),_xlfn._xlws.FILTER('Standings Data'!$K$2:$K$49,'Standings Data'!$A$2:$A$49="B"),1),4,8),"")</f>
        <v>-8</v>
      </c>
      <c r="I13" s="16" cm="1">
        <f t="array" ref="I13">IFERROR(INDEX(_xlfn.SORTBY(_xlfn._xlws.FILTER('Standings Data'!$B$2:$M$49,'Standings Data'!$A$2:$A$49="B"),_xlfn._xlws.FILTER('Standings Data'!$K$2:$K$49,'Standings Data'!$A$2:$A$49="B"),1),4,9),"")</f>
        <v>1</v>
      </c>
      <c r="J13" s="16" cm="1">
        <f t="array" ref="J13">IFERROR(INDEX(_xlfn.SORTBY(_xlfn._xlws.FILTER('Standings Data'!$B$2:$M$49,'Standings Data'!$A$2:$A$49="B"),_xlfn._xlws.FILTER('Standings Data'!$K$2:$K$49,'Standings Data'!$A$2:$A$49="B"),1),4,10),"")</f>
        <v>4</v>
      </c>
      <c r="K13" s="17" t="str" cm="1">
        <f t="array" ref="K13">IFERROR(INDEX(_xlfn.SORTBY(_xlfn._xlws.FILTER('Standings Data'!$B$2:$M$49,'Standings Data'!$A$2:$A$49="B"),_xlfn._xlws.FILTER('Standings Data'!$K$2:$K$49,'Standings Data'!$A$2:$A$49="B"),1),4,11),"")</f>
        <v>B4</v>
      </c>
      <c r="L13" s="15" t="str" cm="1">
        <f t="array" ref="L13">IFERROR(INDEX(_xlfn.SORTBY(_xlfn._xlws.FILTER('Standings Data'!$B$2:$M$49,'Standings Data'!$A$2:$A$49="B"),_xlfn._xlws.FILTER('Standings Data'!$K$2:$K$49,'Standings Data'!$A$2:$A$49="B"),1),4,12),"")</f>
        <v/>
      </c>
      <c r="M13" s="1"/>
      <c r="N13" s="1"/>
      <c r="O13" s="15" t="str" cm="1">
        <f t="array" ref="O13">IFERROR(INDEX(_xlfn.SORTBY(_xlfn._xlws.FILTER('Standings Data'!$B$2:$M$49,'Standings Data'!$A$2:$A$49="H"),_xlfn._xlws.FILTER('Standings Data'!$K$2:$K$49,'Standings Data'!$A$2:$A$49="H"),1),4,1),"")</f>
        <v>Saudi Arabia</v>
      </c>
      <c r="P13" s="16" cm="1">
        <f t="array" ref="P13">IFERROR(INDEX(_xlfn.SORTBY(_xlfn._xlws.FILTER('Standings Data'!$B$2:$M$49,'Standings Data'!$A$2:$A$49="H"),_xlfn._xlws.FILTER('Standings Data'!$K$2:$K$49,'Standings Data'!$A$2:$A$49="H"),1),4,2),"")</f>
        <v>3</v>
      </c>
      <c r="Q13" s="16" cm="1">
        <f t="array" ref="Q13">IFERROR(INDEX(_xlfn.SORTBY(_xlfn._xlws.FILTER('Standings Data'!$B$2:$M$49,'Standings Data'!$A$2:$A$49="H"),_xlfn._xlws.FILTER('Standings Data'!$K$2:$K$49,'Standings Data'!$A$2:$A$49="H"),1),4,3),"")</f>
        <v>0</v>
      </c>
      <c r="R13" s="16" cm="1">
        <f t="array" ref="R13">IFERROR(INDEX(_xlfn.SORTBY(_xlfn._xlws.FILTER('Standings Data'!$B$2:$M$49,'Standings Data'!$A$2:$A$49="H"),_xlfn._xlws.FILTER('Standings Data'!$K$2:$K$49,'Standings Data'!$A$2:$A$49="H"),1),4,4),"")</f>
        <v>2</v>
      </c>
      <c r="S13" s="16" cm="1">
        <f t="array" ref="S13">IFERROR(INDEX(_xlfn.SORTBY(_xlfn._xlws.FILTER('Standings Data'!$B$2:$M$49,'Standings Data'!$A$2:$A$49="H"),_xlfn._xlws.FILTER('Standings Data'!$K$2:$K$49,'Standings Data'!$A$2:$A$49="H"),1),4,5),"")</f>
        <v>1</v>
      </c>
      <c r="T13" s="16" cm="1">
        <f t="array" ref="T13">IFERROR(INDEX(_xlfn.SORTBY(_xlfn._xlws.FILTER('Standings Data'!$B$2:$M$49,'Standings Data'!$A$2:$A$49="H"),_xlfn._xlws.FILTER('Standings Data'!$K$2:$K$49,'Standings Data'!$A$2:$A$49="H"),1),4,6),"")</f>
        <v>1</v>
      </c>
      <c r="U13" s="16" cm="1">
        <f t="array" ref="U13">IFERROR(INDEX(_xlfn.SORTBY(_xlfn._xlws.FILTER('Standings Data'!$B$2:$M$49,'Standings Data'!$A$2:$A$49="H"),_xlfn._xlws.FILTER('Standings Data'!$K$2:$K$49,'Standings Data'!$A$2:$A$49="H"),1),4,7),"")</f>
        <v>5</v>
      </c>
      <c r="V13" s="16" cm="1">
        <f t="array" ref="V13">IFERROR(INDEX(_xlfn.SORTBY(_xlfn._xlws.FILTER('Standings Data'!$B$2:$M$49,'Standings Data'!$A$2:$A$49="H"),_xlfn._xlws.FILTER('Standings Data'!$K$2:$K$49,'Standings Data'!$A$2:$A$49="H"),1),4,8),"")</f>
        <v>-4</v>
      </c>
      <c r="W13" s="16" cm="1">
        <f t="array" ref="W13">IFERROR(INDEX(_xlfn.SORTBY(_xlfn._xlws.FILTER('Standings Data'!$B$2:$M$49,'Standings Data'!$A$2:$A$49="H"),_xlfn._xlws.FILTER('Standings Data'!$K$2:$K$49,'Standings Data'!$A$2:$A$49="H"),1),4,9),"")</f>
        <v>2</v>
      </c>
      <c r="X13" s="16" cm="1">
        <f t="array" ref="X13">IFERROR(INDEX(_xlfn.SORTBY(_xlfn._xlws.FILTER('Standings Data'!$B$2:$M$49,'Standings Data'!$A$2:$A$49="H"),_xlfn._xlws.FILTER('Standings Data'!$K$2:$K$49,'Standings Data'!$A$2:$A$49="H"),1),4,10),"")</f>
        <v>4</v>
      </c>
      <c r="Y13" s="17" t="str" cm="1">
        <f t="array" ref="Y13">IFERROR(INDEX(_xlfn.SORTBY(_xlfn._xlws.FILTER('Standings Data'!$B$2:$M$49,'Standings Data'!$A$2:$A$49="H"),_xlfn._xlws.FILTER('Standings Data'!$K$2:$K$49,'Standings Data'!$A$2:$A$49="H"),1),4,11),"")</f>
        <v>H4</v>
      </c>
      <c r="Z13" s="15" t="str" cm="1">
        <f t="array" ref="Z13">IFERROR(INDEX(_xlfn.SORTBY(_xlfn._xlws.FILTER('Standings Data'!$B$2:$M$49,'Standings Data'!$A$2:$A$49="H"),_xlfn._xlws.FILTER('Standings Data'!$K$2:$K$49,'Standings Data'!$A$2:$A$49="H"),1),4,12),"")</f>
        <v/>
      </c>
      <c r="AA13" s="1"/>
      <c r="AB13" s="1"/>
      <c r="AC13" s="17">
        <f>'Standings Data'!O12</f>
        <v>11</v>
      </c>
      <c r="AD13" s="15" t="str">
        <f>'Standings Data'!P12</f>
        <v>Congo DR</v>
      </c>
      <c r="AE13" s="17" t="str">
        <f>'Standings Data'!Q12</f>
        <v>K</v>
      </c>
      <c r="AF13" s="16">
        <f>'Standings Data'!R12</f>
        <v>4</v>
      </c>
      <c r="AG13" s="16">
        <f>'Standings Data'!S12</f>
        <v>1</v>
      </c>
      <c r="AH13" s="16">
        <f>'Standings Data'!T12</f>
        <v>4</v>
      </c>
      <c r="AI13" s="15" t="str">
        <f>'Standings Data'!U12</f>
        <v>Likely advances</v>
      </c>
    </row>
    <row r="14" spans="1:3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7">
        <f>'Standings Data'!O13</f>
        <v>12</v>
      </c>
      <c r="AD14" s="15" t="str">
        <f>'Standings Data'!P13</f>
        <v>Ghana</v>
      </c>
      <c r="AE14" s="17" t="str">
        <f>'Standings Data'!Q13</f>
        <v>L</v>
      </c>
      <c r="AF14" s="16">
        <f>'Standings Data'!R13</f>
        <v>4</v>
      </c>
      <c r="AG14" s="16">
        <f>'Standings Data'!S13</f>
        <v>0</v>
      </c>
      <c r="AH14" s="16">
        <f>'Standings Data'!T13</f>
        <v>2</v>
      </c>
      <c r="AI14" s="15" t="str">
        <f>'Standings Data'!U13</f>
        <v>Likely advances</v>
      </c>
    </row>
    <row r="15" spans="1:35" x14ac:dyDescent="0.35">
      <c r="A15" s="49" t="s">
        <v>210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1"/>
      <c r="N15" s="1"/>
      <c r="O15" s="49" t="s">
        <v>216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5">
      <c r="A16" s="14" t="s">
        <v>13</v>
      </c>
      <c r="B16" s="14" t="s">
        <v>102</v>
      </c>
      <c r="C16" s="14" t="s">
        <v>103</v>
      </c>
      <c r="D16" s="14" t="s">
        <v>29</v>
      </c>
      <c r="E16" s="14" t="s">
        <v>69</v>
      </c>
      <c r="F16" s="14" t="s">
        <v>104</v>
      </c>
      <c r="G16" s="14" t="s">
        <v>105</v>
      </c>
      <c r="H16" s="14" t="s">
        <v>106</v>
      </c>
      <c r="I16" s="14" t="s">
        <v>107</v>
      </c>
      <c r="J16" s="14" t="s">
        <v>108</v>
      </c>
      <c r="K16" s="14" t="s">
        <v>109</v>
      </c>
      <c r="L16" s="14" t="s">
        <v>110</v>
      </c>
      <c r="M16" s="1"/>
      <c r="N16" s="1"/>
      <c r="O16" s="14" t="s">
        <v>13</v>
      </c>
      <c r="P16" s="14" t="s">
        <v>102</v>
      </c>
      <c r="Q16" s="14" t="s">
        <v>103</v>
      </c>
      <c r="R16" s="14" t="s">
        <v>29</v>
      </c>
      <c r="S16" s="14" t="s">
        <v>69</v>
      </c>
      <c r="T16" s="14" t="s">
        <v>104</v>
      </c>
      <c r="U16" s="14" t="s">
        <v>105</v>
      </c>
      <c r="V16" s="14" t="s">
        <v>106</v>
      </c>
      <c r="W16" s="14" t="s">
        <v>107</v>
      </c>
      <c r="X16" s="14" t="s">
        <v>108</v>
      </c>
      <c r="Y16" s="14" t="s">
        <v>109</v>
      </c>
      <c r="Z16" s="14" t="s">
        <v>110</v>
      </c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35">
      <c r="A17" s="15" t="str" cm="1">
        <f t="array" ref="A17">IFERROR(INDEX(_xlfn.SORTBY(_xlfn._xlws.FILTER('Standings Data'!$B$2:$M$49,'Standings Data'!$A$2:$A$49="C"),_xlfn._xlws.FILTER('Standings Data'!$K$2:$K$49,'Standings Data'!$A$2:$A$49="C"),1),1,1),"")</f>
        <v>Brazil</v>
      </c>
      <c r="B17" s="16" cm="1">
        <f t="array" ref="B17">IFERROR(INDEX(_xlfn.SORTBY(_xlfn._xlws.FILTER('Standings Data'!$B$2:$M$49,'Standings Data'!$A$2:$A$49="C"),_xlfn._xlws.FILTER('Standings Data'!$K$2:$K$49,'Standings Data'!$A$2:$A$49="C"),1),1,2),"")</f>
        <v>3</v>
      </c>
      <c r="C17" s="16" cm="1">
        <f t="array" ref="C17">IFERROR(INDEX(_xlfn.SORTBY(_xlfn._xlws.FILTER('Standings Data'!$B$2:$M$49,'Standings Data'!$A$2:$A$49="C"),_xlfn._xlws.FILTER('Standings Data'!$K$2:$K$49,'Standings Data'!$A$2:$A$49="C"),1),1,3),"")</f>
        <v>2</v>
      </c>
      <c r="D17" s="16" cm="1">
        <f t="array" ref="D17">IFERROR(INDEX(_xlfn.SORTBY(_xlfn._xlws.FILTER('Standings Data'!$B$2:$M$49,'Standings Data'!$A$2:$A$49="C"),_xlfn._xlws.FILTER('Standings Data'!$K$2:$K$49,'Standings Data'!$A$2:$A$49="C"),1),1,4),"")</f>
        <v>1</v>
      </c>
      <c r="E17" s="16" cm="1">
        <f t="array" ref="E17">IFERROR(INDEX(_xlfn.SORTBY(_xlfn._xlws.FILTER('Standings Data'!$B$2:$M$49,'Standings Data'!$A$2:$A$49="C"),_xlfn._xlws.FILTER('Standings Data'!$K$2:$K$49,'Standings Data'!$A$2:$A$49="C"),1),1,5),"")</f>
        <v>0</v>
      </c>
      <c r="F17" s="16" cm="1">
        <f t="array" ref="F17">IFERROR(INDEX(_xlfn.SORTBY(_xlfn._xlws.FILTER('Standings Data'!$B$2:$M$49,'Standings Data'!$A$2:$A$49="C"),_xlfn._xlws.FILTER('Standings Data'!$K$2:$K$49,'Standings Data'!$A$2:$A$49="C"),1),1,6),"")</f>
        <v>7</v>
      </c>
      <c r="G17" s="16" cm="1">
        <f t="array" ref="G17">IFERROR(INDEX(_xlfn.SORTBY(_xlfn._xlws.FILTER('Standings Data'!$B$2:$M$49,'Standings Data'!$A$2:$A$49="C"),_xlfn._xlws.FILTER('Standings Data'!$K$2:$K$49,'Standings Data'!$A$2:$A$49="C"),1),1,7),"")</f>
        <v>1</v>
      </c>
      <c r="H17" s="16" cm="1">
        <f t="array" ref="H17">IFERROR(INDEX(_xlfn.SORTBY(_xlfn._xlws.FILTER('Standings Data'!$B$2:$M$49,'Standings Data'!$A$2:$A$49="C"),_xlfn._xlws.FILTER('Standings Data'!$K$2:$K$49,'Standings Data'!$A$2:$A$49="C"),1),1,8),"")</f>
        <v>6</v>
      </c>
      <c r="I17" s="16" cm="1">
        <f t="array" ref="I17">IFERROR(INDEX(_xlfn.SORTBY(_xlfn._xlws.FILTER('Standings Data'!$B$2:$M$49,'Standings Data'!$A$2:$A$49="C"),_xlfn._xlws.FILTER('Standings Data'!$K$2:$K$49,'Standings Data'!$A$2:$A$49="C"),1),1,9),"")</f>
        <v>7</v>
      </c>
      <c r="J17" s="16" cm="1">
        <f t="array" ref="J17">IFERROR(INDEX(_xlfn.SORTBY(_xlfn._xlws.FILTER('Standings Data'!$B$2:$M$49,'Standings Data'!$A$2:$A$49="C"),_xlfn._xlws.FILTER('Standings Data'!$K$2:$K$49,'Standings Data'!$A$2:$A$49="C"),1),1,10),"")</f>
        <v>1</v>
      </c>
      <c r="K17" s="17" t="str" cm="1">
        <f t="array" ref="K17">IFERROR(INDEX(_xlfn.SORTBY(_xlfn._xlws.FILTER('Standings Data'!$B$2:$M$49,'Standings Data'!$A$2:$A$49="C"),_xlfn._xlws.FILTER('Standings Data'!$K$2:$K$49,'Standings Data'!$A$2:$A$49="C"),1),1,11),"")</f>
        <v>C1</v>
      </c>
      <c r="L17" s="15" t="str" cm="1">
        <f t="array" ref="L17">IFERROR(INDEX(_xlfn.SORTBY(_xlfn._xlws.FILTER('Standings Data'!$B$2:$M$49,'Standings Data'!$A$2:$A$49="C"),_xlfn._xlws.FILTER('Standings Data'!$K$2:$K$49,'Standings Data'!$A$2:$A$49="C"),1),1,12),"")</f>
        <v>Qualified</v>
      </c>
      <c r="M17" s="1"/>
      <c r="N17" s="1"/>
      <c r="O17" s="15" t="str" cm="1">
        <f t="array" ref="O17">IFERROR(INDEX(_xlfn.SORTBY(_xlfn._xlws.FILTER('Standings Data'!$B$2:$M$49,'Standings Data'!$A$2:$A$49="I"),_xlfn._xlws.FILTER('Standings Data'!$K$2:$K$49,'Standings Data'!$A$2:$A$49="I"),1),1,1),"")</f>
        <v>France</v>
      </c>
      <c r="P17" s="16" cm="1">
        <f t="array" ref="P17">IFERROR(INDEX(_xlfn.SORTBY(_xlfn._xlws.FILTER('Standings Data'!$B$2:$M$49,'Standings Data'!$A$2:$A$49="I"),_xlfn._xlws.FILTER('Standings Data'!$K$2:$K$49,'Standings Data'!$A$2:$A$49="I"),1),1,2),"")</f>
        <v>3</v>
      </c>
      <c r="Q17" s="16" cm="1">
        <f t="array" ref="Q17">IFERROR(INDEX(_xlfn.SORTBY(_xlfn._xlws.FILTER('Standings Data'!$B$2:$M$49,'Standings Data'!$A$2:$A$49="I"),_xlfn._xlws.FILTER('Standings Data'!$K$2:$K$49,'Standings Data'!$A$2:$A$49="I"),1),1,3),"")</f>
        <v>3</v>
      </c>
      <c r="R17" s="16" cm="1">
        <f t="array" ref="R17">IFERROR(INDEX(_xlfn.SORTBY(_xlfn._xlws.FILTER('Standings Data'!$B$2:$M$49,'Standings Data'!$A$2:$A$49="I"),_xlfn._xlws.FILTER('Standings Data'!$K$2:$K$49,'Standings Data'!$A$2:$A$49="I"),1),1,4),"")</f>
        <v>0</v>
      </c>
      <c r="S17" s="16" cm="1">
        <f t="array" ref="S17">IFERROR(INDEX(_xlfn.SORTBY(_xlfn._xlws.FILTER('Standings Data'!$B$2:$M$49,'Standings Data'!$A$2:$A$49="I"),_xlfn._xlws.FILTER('Standings Data'!$K$2:$K$49,'Standings Data'!$A$2:$A$49="I"),1),1,5),"")</f>
        <v>0</v>
      </c>
      <c r="T17" s="16" cm="1">
        <f t="array" ref="T17">IFERROR(INDEX(_xlfn.SORTBY(_xlfn._xlws.FILTER('Standings Data'!$B$2:$M$49,'Standings Data'!$A$2:$A$49="I"),_xlfn._xlws.FILTER('Standings Data'!$K$2:$K$49,'Standings Data'!$A$2:$A$49="I"),1),1,6),"")</f>
        <v>10</v>
      </c>
      <c r="U17" s="16" cm="1">
        <f t="array" ref="U17">IFERROR(INDEX(_xlfn.SORTBY(_xlfn._xlws.FILTER('Standings Data'!$B$2:$M$49,'Standings Data'!$A$2:$A$49="I"),_xlfn._xlws.FILTER('Standings Data'!$K$2:$K$49,'Standings Data'!$A$2:$A$49="I"),1),1,7),"")</f>
        <v>2</v>
      </c>
      <c r="V17" s="16" cm="1">
        <f t="array" ref="V17">IFERROR(INDEX(_xlfn.SORTBY(_xlfn._xlws.FILTER('Standings Data'!$B$2:$M$49,'Standings Data'!$A$2:$A$49="I"),_xlfn._xlws.FILTER('Standings Data'!$K$2:$K$49,'Standings Data'!$A$2:$A$49="I"),1),1,8),"")</f>
        <v>8</v>
      </c>
      <c r="W17" s="16" cm="1">
        <f t="array" ref="W17">IFERROR(INDEX(_xlfn.SORTBY(_xlfn._xlws.FILTER('Standings Data'!$B$2:$M$49,'Standings Data'!$A$2:$A$49="I"),_xlfn._xlws.FILTER('Standings Data'!$K$2:$K$49,'Standings Data'!$A$2:$A$49="I"),1),1,9),"")</f>
        <v>9</v>
      </c>
      <c r="X17" s="16" cm="1">
        <f t="array" ref="X17">IFERROR(INDEX(_xlfn.SORTBY(_xlfn._xlws.FILTER('Standings Data'!$B$2:$M$49,'Standings Data'!$A$2:$A$49="I"),_xlfn._xlws.FILTER('Standings Data'!$K$2:$K$49,'Standings Data'!$A$2:$A$49="I"),1),1,10),"")</f>
        <v>1</v>
      </c>
      <c r="Y17" s="17" t="str" cm="1">
        <f t="array" ref="Y17">IFERROR(INDEX(_xlfn.SORTBY(_xlfn._xlws.FILTER('Standings Data'!$B$2:$M$49,'Standings Data'!$A$2:$A$49="I"),_xlfn._xlws.FILTER('Standings Data'!$K$2:$K$49,'Standings Data'!$A$2:$A$49="I"),1),1,11),"")</f>
        <v>I1</v>
      </c>
      <c r="Z17" s="15" t="str" cm="1">
        <f t="array" ref="Z17">IFERROR(INDEX(_xlfn.SORTBY(_xlfn._xlws.FILTER('Standings Data'!$B$2:$M$49,'Standings Data'!$A$2:$A$49="I"),_xlfn._xlws.FILTER('Standings Data'!$K$2:$K$49,'Standings Data'!$A$2:$A$49="I"),1),1,12),"")</f>
        <v>Qualified</v>
      </c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35">
      <c r="A18" s="15" t="str" cm="1">
        <f t="array" ref="A18">IFERROR(INDEX(_xlfn.SORTBY(_xlfn._xlws.FILTER('Standings Data'!$B$2:$M$49,'Standings Data'!$A$2:$A$49="C"),_xlfn._xlws.FILTER('Standings Data'!$K$2:$K$49,'Standings Data'!$A$2:$A$49="C"),1),2,1),"")</f>
        <v>Morocco</v>
      </c>
      <c r="B18" s="16" cm="1">
        <f t="array" ref="B18">IFERROR(INDEX(_xlfn.SORTBY(_xlfn._xlws.FILTER('Standings Data'!$B$2:$M$49,'Standings Data'!$A$2:$A$49="C"),_xlfn._xlws.FILTER('Standings Data'!$K$2:$K$49,'Standings Data'!$A$2:$A$49="C"),1),2,2),"")</f>
        <v>3</v>
      </c>
      <c r="C18" s="16" cm="1">
        <f t="array" ref="C18">IFERROR(INDEX(_xlfn.SORTBY(_xlfn._xlws.FILTER('Standings Data'!$B$2:$M$49,'Standings Data'!$A$2:$A$49="C"),_xlfn._xlws.FILTER('Standings Data'!$K$2:$K$49,'Standings Data'!$A$2:$A$49="C"),1),2,3),"")</f>
        <v>2</v>
      </c>
      <c r="D18" s="16" cm="1">
        <f t="array" ref="D18">IFERROR(INDEX(_xlfn.SORTBY(_xlfn._xlws.FILTER('Standings Data'!$B$2:$M$49,'Standings Data'!$A$2:$A$49="C"),_xlfn._xlws.FILTER('Standings Data'!$K$2:$K$49,'Standings Data'!$A$2:$A$49="C"),1),2,4),"")</f>
        <v>1</v>
      </c>
      <c r="E18" s="16" cm="1">
        <f t="array" ref="E18">IFERROR(INDEX(_xlfn.SORTBY(_xlfn._xlws.FILTER('Standings Data'!$B$2:$M$49,'Standings Data'!$A$2:$A$49="C"),_xlfn._xlws.FILTER('Standings Data'!$K$2:$K$49,'Standings Data'!$A$2:$A$49="C"),1),2,5),"")</f>
        <v>0</v>
      </c>
      <c r="F18" s="16" cm="1">
        <f t="array" ref="F18">IFERROR(INDEX(_xlfn.SORTBY(_xlfn._xlws.FILTER('Standings Data'!$B$2:$M$49,'Standings Data'!$A$2:$A$49="C"),_xlfn._xlws.FILTER('Standings Data'!$K$2:$K$49,'Standings Data'!$A$2:$A$49="C"),1),2,6),"")</f>
        <v>6</v>
      </c>
      <c r="G18" s="16" cm="1">
        <f t="array" ref="G18">IFERROR(INDEX(_xlfn.SORTBY(_xlfn._xlws.FILTER('Standings Data'!$B$2:$M$49,'Standings Data'!$A$2:$A$49="C"),_xlfn._xlws.FILTER('Standings Data'!$K$2:$K$49,'Standings Data'!$A$2:$A$49="C"),1),2,7),"")</f>
        <v>3</v>
      </c>
      <c r="H18" s="16" cm="1">
        <f t="array" ref="H18">IFERROR(INDEX(_xlfn.SORTBY(_xlfn._xlws.FILTER('Standings Data'!$B$2:$M$49,'Standings Data'!$A$2:$A$49="C"),_xlfn._xlws.FILTER('Standings Data'!$K$2:$K$49,'Standings Data'!$A$2:$A$49="C"),1),2,8),"")</f>
        <v>3</v>
      </c>
      <c r="I18" s="16" cm="1">
        <f t="array" ref="I18">IFERROR(INDEX(_xlfn.SORTBY(_xlfn._xlws.FILTER('Standings Data'!$B$2:$M$49,'Standings Data'!$A$2:$A$49="C"),_xlfn._xlws.FILTER('Standings Data'!$K$2:$K$49,'Standings Data'!$A$2:$A$49="C"),1),2,9),"")</f>
        <v>7</v>
      </c>
      <c r="J18" s="16" cm="1">
        <f t="array" ref="J18">IFERROR(INDEX(_xlfn.SORTBY(_xlfn._xlws.FILTER('Standings Data'!$B$2:$M$49,'Standings Data'!$A$2:$A$49="C"),_xlfn._xlws.FILTER('Standings Data'!$K$2:$K$49,'Standings Data'!$A$2:$A$49="C"),1),2,10),"")</f>
        <v>2</v>
      </c>
      <c r="K18" s="17" t="str" cm="1">
        <f t="array" ref="K18">IFERROR(INDEX(_xlfn.SORTBY(_xlfn._xlws.FILTER('Standings Data'!$B$2:$M$49,'Standings Data'!$A$2:$A$49="C"),_xlfn._xlws.FILTER('Standings Data'!$K$2:$K$49,'Standings Data'!$A$2:$A$49="C"),1),2,11),"")</f>
        <v>C2</v>
      </c>
      <c r="L18" s="15" t="str" cm="1">
        <f t="array" ref="L18">IFERROR(INDEX(_xlfn.SORTBY(_xlfn._xlws.FILTER('Standings Data'!$B$2:$M$49,'Standings Data'!$A$2:$A$49="C"),_xlfn._xlws.FILTER('Standings Data'!$K$2:$K$49,'Standings Data'!$A$2:$A$49="C"),1),2,12),"")</f>
        <v>Qualified</v>
      </c>
      <c r="M18" s="1"/>
      <c r="N18" s="1"/>
      <c r="O18" s="15" t="str" cm="1">
        <f t="array" ref="O18">IFERROR(INDEX(_xlfn.SORTBY(_xlfn._xlws.FILTER('Standings Data'!$B$2:$M$49,'Standings Data'!$A$2:$A$49="I"),_xlfn._xlws.FILTER('Standings Data'!$K$2:$K$49,'Standings Data'!$A$2:$A$49="I"),1),2,1),"")</f>
        <v>Norway</v>
      </c>
      <c r="P18" s="16" cm="1">
        <f t="array" ref="P18">IFERROR(INDEX(_xlfn.SORTBY(_xlfn._xlws.FILTER('Standings Data'!$B$2:$M$49,'Standings Data'!$A$2:$A$49="I"),_xlfn._xlws.FILTER('Standings Data'!$K$2:$K$49,'Standings Data'!$A$2:$A$49="I"),1),2,2),"")</f>
        <v>3</v>
      </c>
      <c r="Q18" s="16" cm="1">
        <f t="array" ref="Q18">IFERROR(INDEX(_xlfn.SORTBY(_xlfn._xlws.FILTER('Standings Data'!$B$2:$M$49,'Standings Data'!$A$2:$A$49="I"),_xlfn._xlws.FILTER('Standings Data'!$K$2:$K$49,'Standings Data'!$A$2:$A$49="I"),1),2,3),"")</f>
        <v>2</v>
      </c>
      <c r="R18" s="16" cm="1">
        <f t="array" ref="R18">IFERROR(INDEX(_xlfn.SORTBY(_xlfn._xlws.FILTER('Standings Data'!$B$2:$M$49,'Standings Data'!$A$2:$A$49="I"),_xlfn._xlws.FILTER('Standings Data'!$K$2:$K$49,'Standings Data'!$A$2:$A$49="I"),1),2,4),"")</f>
        <v>0</v>
      </c>
      <c r="S18" s="16" cm="1">
        <f t="array" ref="S18">IFERROR(INDEX(_xlfn.SORTBY(_xlfn._xlws.FILTER('Standings Data'!$B$2:$M$49,'Standings Data'!$A$2:$A$49="I"),_xlfn._xlws.FILTER('Standings Data'!$K$2:$K$49,'Standings Data'!$A$2:$A$49="I"),1),2,5),"")</f>
        <v>1</v>
      </c>
      <c r="T18" s="16" cm="1">
        <f t="array" ref="T18">IFERROR(INDEX(_xlfn.SORTBY(_xlfn._xlws.FILTER('Standings Data'!$B$2:$M$49,'Standings Data'!$A$2:$A$49="I"),_xlfn._xlws.FILTER('Standings Data'!$K$2:$K$49,'Standings Data'!$A$2:$A$49="I"),1),2,6),"")</f>
        <v>8</v>
      </c>
      <c r="U18" s="16" cm="1">
        <f t="array" ref="U18">IFERROR(INDEX(_xlfn.SORTBY(_xlfn._xlws.FILTER('Standings Data'!$B$2:$M$49,'Standings Data'!$A$2:$A$49="I"),_xlfn._xlws.FILTER('Standings Data'!$K$2:$K$49,'Standings Data'!$A$2:$A$49="I"),1),2,7),"")</f>
        <v>7</v>
      </c>
      <c r="V18" s="16" cm="1">
        <f t="array" ref="V18">IFERROR(INDEX(_xlfn.SORTBY(_xlfn._xlws.FILTER('Standings Data'!$B$2:$M$49,'Standings Data'!$A$2:$A$49="I"),_xlfn._xlws.FILTER('Standings Data'!$K$2:$K$49,'Standings Data'!$A$2:$A$49="I"),1),2,8),"")</f>
        <v>1</v>
      </c>
      <c r="W18" s="16" cm="1">
        <f t="array" ref="W18">IFERROR(INDEX(_xlfn.SORTBY(_xlfn._xlws.FILTER('Standings Data'!$B$2:$M$49,'Standings Data'!$A$2:$A$49="I"),_xlfn._xlws.FILTER('Standings Data'!$K$2:$K$49,'Standings Data'!$A$2:$A$49="I"),1),2,9),"")</f>
        <v>6</v>
      </c>
      <c r="X18" s="16" cm="1">
        <f t="array" ref="X18">IFERROR(INDEX(_xlfn.SORTBY(_xlfn._xlws.FILTER('Standings Data'!$B$2:$M$49,'Standings Data'!$A$2:$A$49="I"),_xlfn._xlws.FILTER('Standings Data'!$K$2:$K$49,'Standings Data'!$A$2:$A$49="I"),1),2,10),"")</f>
        <v>2</v>
      </c>
      <c r="Y18" s="17" t="str" cm="1">
        <f t="array" ref="Y18">IFERROR(INDEX(_xlfn.SORTBY(_xlfn._xlws.FILTER('Standings Data'!$B$2:$M$49,'Standings Data'!$A$2:$A$49="I"),_xlfn._xlws.FILTER('Standings Data'!$K$2:$K$49,'Standings Data'!$A$2:$A$49="I"),1),2,11),"")</f>
        <v>I2</v>
      </c>
      <c r="Z18" s="15" t="str" cm="1">
        <f t="array" ref="Z18">IFERROR(INDEX(_xlfn.SORTBY(_xlfn._xlws.FILTER('Standings Data'!$B$2:$M$49,'Standings Data'!$A$2:$A$49="I"),_xlfn._xlws.FILTER('Standings Data'!$K$2:$K$49,'Standings Data'!$A$2:$A$49="I"),1),2,12),"")</f>
        <v>Qualified</v>
      </c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35">
      <c r="A19" s="15" t="str" cm="1">
        <f t="array" ref="A19">IFERROR(INDEX(_xlfn.SORTBY(_xlfn._xlws.FILTER('Standings Data'!$B$2:$M$49,'Standings Data'!$A$2:$A$49="C"),_xlfn._xlws.FILTER('Standings Data'!$K$2:$K$49,'Standings Data'!$A$2:$A$49="C"),1),3,1),"")</f>
        <v>Scotland</v>
      </c>
      <c r="B19" s="16" cm="1">
        <f t="array" ref="B19">IFERROR(INDEX(_xlfn.SORTBY(_xlfn._xlws.FILTER('Standings Data'!$B$2:$M$49,'Standings Data'!$A$2:$A$49="C"),_xlfn._xlws.FILTER('Standings Data'!$K$2:$K$49,'Standings Data'!$A$2:$A$49="C"),1),3,2),"")</f>
        <v>3</v>
      </c>
      <c r="C19" s="16" cm="1">
        <f t="array" ref="C19">IFERROR(INDEX(_xlfn.SORTBY(_xlfn._xlws.FILTER('Standings Data'!$B$2:$M$49,'Standings Data'!$A$2:$A$49="C"),_xlfn._xlws.FILTER('Standings Data'!$K$2:$K$49,'Standings Data'!$A$2:$A$49="C"),1),3,3),"")</f>
        <v>1</v>
      </c>
      <c r="D19" s="16" cm="1">
        <f t="array" ref="D19">IFERROR(INDEX(_xlfn.SORTBY(_xlfn._xlws.FILTER('Standings Data'!$B$2:$M$49,'Standings Data'!$A$2:$A$49="C"),_xlfn._xlws.FILTER('Standings Data'!$K$2:$K$49,'Standings Data'!$A$2:$A$49="C"),1),3,4),"")</f>
        <v>0</v>
      </c>
      <c r="E19" s="16" cm="1">
        <f t="array" ref="E19">IFERROR(INDEX(_xlfn.SORTBY(_xlfn._xlws.FILTER('Standings Data'!$B$2:$M$49,'Standings Data'!$A$2:$A$49="C"),_xlfn._xlws.FILTER('Standings Data'!$K$2:$K$49,'Standings Data'!$A$2:$A$49="C"),1),3,5),"")</f>
        <v>2</v>
      </c>
      <c r="F19" s="16" cm="1">
        <f t="array" ref="F19">IFERROR(INDEX(_xlfn.SORTBY(_xlfn._xlws.FILTER('Standings Data'!$B$2:$M$49,'Standings Data'!$A$2:$A$49="C"),_xlfn._xlws.FILTER('Standings Data'!$K$2:$K$49,'Standings Data'!$A$2:$A$49="C"),1),3,6),"")</f>
        <v>1</v>
      </c>
      <c r="G19" s="16" cm="1">
        <f t="array" ref="G19">IFERROR(INDEX(_xlfn.SORTBY(_xlfn._xlws.FILTER('Standings Data'!$B$2:$M$49,'Standings Data'!$A$2:$A$49="C"),_xlfn._xlws.FILTER('Standings Data'!$K$2:$K$49,'Standings Data'!$A$2:$A$49="C"),1),3,7),"")</f>
        <v>4</v>
      </c>
      <c r="H19" s="16" cm="1">
        <f t="array" ref="H19">IFERROR(INDEX(_xlfn.SORTBY(_xlfn._xlws.FILTER('Standings Data'!$B$2:$M$49,'Standings Data'!$A$2:$A$49="C"),_xlfn._xlws.FILTER('Standings Data'!$K$2:$K$49,'Standings Data'!$A$2:$A$49="C"),1),3,8),"")</f>
        <v>-3</v>
      </c>
      <c r="I19" s="16" cm="1">
        <f t="array" ref="I19">IFERROR(INDEX(_xlfn.SORTBY(_xlfn._xlws.FILTER('Standings Data'!$B$2:$M$49,'Standings Data'!$A$2:$A$49="C"),_xlfn._xlws.FILTER('Standings Data'!$K$2:$K$49,'Standings Data'!$A$2:$A$49="C"),1),3,9),"")</f>
        <v>3</v>
      </c>
      <c r="J19" s="16" cm="1">
        <f t="array" ref="J19">IFERROR(INDEX(_xlfn.SORTBY(_xlfn._xlws.FILTER('Standings Data'!$B$2:$M$49,'Standings Data'!$A$2:$A$49="C"),_xlfn._xlws.FILTER('Standings Data'!$K$2:$K$49,'Standings Data'!$A$2:$A$49="C"),1),3,10),"")</f>
        <v>3</v>
      </c>
      <c r="K19" s="17" t="str" cm="1">
        <f t="array" ref="K19">IFERROR(INDEX(_xlfn.SORTBY(_xlfn._xlws.FILTER('Standings Data'!$B$2:$M$49,'Standings Data'!$A$2:$A$49="C"),_xlfn._xlws.FILTER('Standings Data'!$K$2:$K$49,'Standings Data'!$A$2:$A$49="C"),1),3,11),"")</f>
        <v>C3</v>
      </c>
      <c r="L19" s="15" t="str" cm="1">
        <f t="array" ref="L19">IFERROR(INDEX(_xlfn.SORTBY(_xlfn._xlws.FILTER('Standings Data'!$B$2:$M$49,'Standings Data'!$A$2:$A$49="C"),_xlfn._xlws.FILTER('Standings Data'!$K$2:$K$49,'Standings Data'!$A$2:$A$49="C"),1),3,12),"")</f>
        <v>Third-place pool</v>
      </c>
      <c r="M19" s="1"/>
      <c r="N19" s="1"/>
      <c r="O19" s="15" t="str" cm="1">
        <f t="array" ref="O19">IFERROR(INDEX(_xlfn.SORTBY(_xlfn._xlws.FILTER('Standings Data'!$B$2:$M$49,'Standings Data'!$A$2:$A$49="I"),_xlfn._xlws.FILTER('Standings Data'!$K$2:$K$49,'Standings Data'!$A$2:$A$49="I"),1),3,1),"")</f>
        <v>Senegal</v>
      </c>
      <c r="P19" s="16" cm="1">
        <f t="array" ref="P19">IFERROR(INDEX(_xlfn.SORTBY(_xlfn._xlws.FILTER('Standings Data'!$B$2:$M$49,'Standings Data'!$A$2:$A$49="I"),_xlfn._xlws.FILTER('Standings Data'!$K$2:$K$49,'Standings Data'!$A$2:$A$49="I"),1),3,2),"")</f>
        <v>3</v>
      </c>
      <c r="Q19" s="16" cm="1">
        <f t="array" ref="Q19">IFERROR(INDEX(_xlfn.SORTBY(_xlfn._xlws.FILTER('Standings Data'!$B$2:$M$49,'Standings Data'!$A$2:$A$49="I"),_xlfn._xlws.FILTER('Standings Data'!$K$2:$K$49,'Standings Data'!$A$2:$A$49="I"),1),3,3),"")</f>
        <v>1</v>
      </c>
      <c r="R19" s="16" cm="1">
        <f t="array" ref="R19">IFERROR(INDEX(_xlfn.SORTBY(_xlfn._xlws.FILTER('Standings Data'!$B$2:$M$49,'Standings Data'!$A$2:$A$49="I"),_xlfn._xlws.FILTER('Standings Data'!$K$2:$K$49,'Standings Data'!$A$2:$A$49="I"),1),3,4),"")</f>
        <v>0</v>
      </c>
      <c r="S19" s="16" cm="1">
        <f t="array" ref="S19">IFERROR(INDEX(_xlfn.SORTBY(_xlfn._xlws.FILTER('Standings Data'!$B$2:$M$49,'Standings Data'!$A$2:$A$49="I"),_xlfn._xlws.FILTER('Standings Data'!$K$2:$K$49,'Standings Data'!$A$2:$A$49="I"),1),3,5),"")</f>
        <v>2</v>
      </c>
      <c r="T19" s="16" cm="1">
        <f t="array" ref="T19">IFERROR(INDEX(_xlfn.SORTBY(_xlfn._xlws.FILTER('Standings Data'!$B$2:$M$49,'Standings Data'!$A$2:$A$49="I"),_xlfn._xlws.FILTER('Standings Data'!$K$2:$K$49,'Standings Data'!$A$2:$A$49="I"),1),3,6),"")</f>
        <v>8</v>
      </c>
      <c r="U19" s="16" cm="1">
        <f t="array" ref="U19">IFERROR(INDEX(_xlfn.SORTBY(_xlfn._xlws.FILTER('Standings Data'!$B$2:$M$49,'Standings Data'!$A$2:$A$49="I"),_xlfn._xlws.FILTER('Standings Data'!$K$2:$K$49,'Standings Data'!$A$2:$A$49="I"),1),3,7),"")</f>
        <v>6</v>
      </c>
      <c r="V19" s="16" cm="1">
        <f t="array" ref="V19">IFERROR(INDEX(_xlfn.SORTBY(_xlfn._xlws.FILTER('Standings Data'!$B$2:$M$49,'Standings Data'!$A$2:$A$49="I"),_xlfn._xlws.FILTER('Standings Data'!$K$2:$K$49,'Standings Data'!$A$2:$A$49="I"),1),3,8),"")</f>
        <v>2</v>
      </c>
      <c r="W19" s="16" cm="1">
        <f t="array" ref="W19">IFERROR(INDEX(_xlfn.SORTBY(_xlfn._xlws.FILTER('Standings Data'!$B$2:$M$49,'Standings Data'!$A$2:$A$49="I"),_xlfn._xlws.FILTER('Standings Data'!$K$2:$K$49,'Standings Data'!$A$2:$A$49="I"),1),3,9),"")</f>
        <v>3</v>
      </c>
      <c r="X19" s="16" cm="1">
        <f t="array" ref="X19">IFERROR(INDEX(_xlfn.SORTBY(_xlfn._xlws.FILTER('Standings Data'!$B$2:$M$49,'Standings Data'!$A$2:$A$49="I"),_xlfn._xlws.FILTER('Standings Data'!$K$2:$K$49,'Standings Data'!$A$2:$A$49="I"),1),3,10),"")</f>
        <v>3</v>
      </c>
      <c r="Y19" s="17" t="str" cm="1">
        <f t="array" ref="Y19">IFERROR(INDEX(_xlfn.SORTBY(_xlfn._xlws.FILTER('Standings Data'!$B$2:$M$49,'Standings Data'!$A$2:$A$49="I"),_xlfn._xlws.FILTER('Standings Data'!$K$2:$K$49,'Standings Data'!$A$2:$A$49="I"),1),3,11),"")</f>
        <v>I3</v>
      </c>
      <c r="Z19" s="15" t="str" cm="1">
        <f t="array" ref="Z19">IFERROR(INDEX(_xlfn.SORTBY(_xlfn._xlws.FILTER('Standings Data'!$B$2:$M$49,'Standings Data'!$A$2:$A$49="I"),_xlfn._xlws.FILTER('Standings Data'!$K$2:$K$49,'Standings Data'!$A$2:$A$49="I"),1),3,12),"")</f>
        <v>Third-place pool</v>
      </c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35">
      <c r="A20" s="15" t="str" cm="1">
        <f t="array" ref="A20">IFERROR(INDEX(_xlfn.SORTBY(_xlfn._xlws.FILTER('Standings Data'!$B$2:$M$49,'Standings Data'!$A$2:$A$49="C"),_xlfn._xlws.FILTER('Standings Data'!$K$2:$K$49,'Standings Data'!$A$2:$A$49="C"),1),4,1),"")</f>
        <v>Haiti</v>
      </c>
      <c r="B20" s="16" cm="1">
        <f t="array" ref="B20">IFERROR(INDEX(_xlfn.SORTBY(_xlfn._xlws.FILTER('Standings Data'!$B$2:$M$49,'Standings Data'!$A$2:$A$49="C"),_xlfn._xlws.FILTER('Standings Data'!$K$2:$K$49,'Standings Data'!$A$2:$A$49="C"),1),4,2),"")</f>
        <v>3</v>
      </c>
      <c r="C20" s="16" cm="1">
        <f t="array" ref="C20">IFERROR(INDEX(_xlfn.SORTBY(_xlfn._xlws.FILTER('Standings Data'!$B$2:$M$49,'Standings Data'!$A$2:$A$49="C"),_xlfn._xlws.FILTER('Standings Data'!$K$2:$K$49,'Standings Data'!$A$2:$A$49="C"),1),4,3),"")</f>
        <v>0</v>
      </c>
      <c r="D20" s="16" cm="1">
        <f t="array" ref="D20">IFERROR(INDEX(_xlfn.SORTBY(_xlfn._xlws.FILTER('Standings Data'!$B$2:$M$49,'Standings Data'!$A$2:$A$49="C"),_xlfn._xlws.FILTER('Standings Data'!$K$2:$K$49,'Standings Data'!$A$2:$A$49="C"),1),4,4),"")</f>
        <v>0</v>
      </c>
      <c r="E20" s="16" cm="1">
        <f t="array" ref="E20">IFERROR(INDEX(_xlfn.SORTBY(_xlfn._xlws.FILTER('Standings Data'!$B$2:$M$49,'Standings Data'!$A$2:$A$49="C"),_xlfn._xlws.FILTER('Standings Data'!$K$2:$K$49,'Standings Data'!$A$2:$A$49="C"),1),4,5),"")</f>
        <v>3</v>
      </c>
      <c r="F20" s="16" cm="1">
        <f t="array" ref="F20">IFERROR(INDEX(_xlfn.SORTBY(_xlfn._xlws.FILTER('Standings Data'!$B$2:$M$49,'Standings Data'!$A$2:$A$49="C"),_xlfn._xlws.FILTER('Standings Data'!$K$2:$K$49,'Standings Data'!$A$2:$A$49="C"),1),4,6),"")</f>
        <v>2</v>
      </c>
      <c r="G20" s="16" cm="1">
        <f t="array" ref="G20">IFERROR(INDEX(_xlfn.SORTBY(_xlfn._xlws.FILTER('Standings Data'!$B$2:$M$49,'Standings Data'!$A$2:$A$49="C"),_xlfn._xlws.FILTER('Standings Data'!$K$2:$K$49,'Standings Data'!$A$2:$A$49="C"),1),4,7),"")</f>
        <v>8</v>
      </c>
      <c r="H20" s="16" cm="1">
        <f t="array" ref="H20">IFERROR(INDEX(_xlfn.SORTBY(_xlfn._xlws.FILTER('Standings Data'!$B$2:$M$49,'Standings Data'!$A$2:$A$49="C"),_xlfn._xlws.FILTER('Standings Data'!$K$2:$K$49,'Standings Data'!$A$2:$A$49="C"),1),4,8),"")</f>
        <v>-6</v>
      </c>
      <c r="I20" s="16" cm="1">
        <f t="array" ref="I20">IFERROR(INDEX(_xlfn.SORTBY(_xlfn._xlws.FILTER('Standings Data'!$B$2:$M$49,'Standings Data'!$A$2:$A$49="C"),_xlfn._xlws.FILTER('Standings Data'!$K$2:$K$49,'Standings Data'!$A$2:$A$49="C"),1),4,9),"")</f>
        <v>0</v>
      </c>
      <c r="J20" s="16" cm="1">
        <f t="array" ref="J20">IFERROR(INDEX(_xlfn.SORTBY(_xlfn._xlws.FILTER('Standings Data'!$B$2:$M$49,'Standings Data'!$A$2:$A$49="C"),_xlfn._xlws.FILTER('Standings Data'!$K$2:$K$49,'Standings Data'!$A$2:$A$49="C"),1),4,10),"")</f>
        <v>4</v>
      </c>
      <c r="K20" s="17" t="str" cm="1">
        <f t="array" ref="K20">IFERROR(INDEX(_xlfn.SORTBY(_xlfn._xlws.FILTER('Standings Data'!$B$2:$M$49,'Standings Data'!$A$2:$A$49="C"),_xlfn._xlws.FILTER('Standings Data'!$K$2:$K$49,'Standings Data'!$A$2:$A$49="C"),1),4,11),"")</f>
        <v>C4</v>
      </c>
      <c r="L20" s="15" t="str" cm="1">
        <f t="array" ref="L20">IFERROR(INDEX(_xlfn.SORTBY(_xlfn._xlws.FILTER('Standings Data'!$B$2:$M$49,'Standings Data'!$A$2:$A$49="C"),_xlfn._xlws.FILTER('Standings Data'!$K$2:$K$49,'Standings Data'!$A$2:$A$49="C"),1),4,12),"")</f>
        <v/>
      </c>
      <c r="M20" s="1"/>
      <c r="N20" s="1"/>
      <c r="O20" s="15" t="str" cm="1">
        <f t="array" ref="O20">IFERROR(INDEX(_xlfn.SORTBY(_xlfn._xlws.FILTER('Standings Data'!$B$2:$M$49,'Standings Data'!$A$2:$A$49="I"),_xlfn._xlws.FILTER('Standings Data'!$K$2:$K$49,'Standings Data'!$A$2:$A$49="I"),1),4,1),"")</f>
        <v>Iraq</v>
      </c>
      <c r="P20" s="16" cm="1">
        <f t="array" ref="P20">IFERROR(INDEX(_xlfn.SORTBY(_xlfn._xlws.FILTER('Standings Data'!$B$2:$M$49,'Standings Data'!$A$2:$A$49="I"),_xlfn._xlws.FILTER('Standings Data'!$K$2:$K$49,'Standings Data'!$A$2:$A$49="I"),1),4,2),"")</f>
        <v>3</v>
      </c>
      <c r="Q20" s="16" cm="1">
        <f t="array" ref="Q20">IFERROR(INDEX(_xlfn.SORTBY(_xlfn._xlws.FILTER('Standings Data'!$B$2:$M$49,'Standings Data'!$A$2:$A$49="I"),_xlfn._xlws.FILTER('Standings Data'!$K$2:$K$49,'Standings Data'!$A$2:$A$49="I"),1),4,3),"")</f>
        <v>0</v>
      </c>
      <c r="R20" s="16" cm="1">
        <f t="array" ref="R20">IFERROR(INDEX(_xlfn.SORTBY(_xlfn._xlws.FILTER('Standings Data'!$B$2:$M$49,'Standings Data'!$A$2:$A$49="I"),_xlfn._xlws.FILTER('Standings Data'!$K$2:$K$49,'Standings Data'!$A$2:$A$49="I"),1),4,4),"")</f>
        <v>0</v>
      </c>
      <c r="S20" s="16" cm="1">
        <f t="array" ref="S20">IFERROR(INDEX(_xlfn.SORTBY(_xlfn._xlws.FILTER('Standings Data'!$B$2:$M$49,'Standings Data'!$A$2:$A$49="I"),_xlfn._xlws.FILTER('Standings Data'!$K$2:$K$49,'Standings Data'!$A$2:$A$49="I"),1),4,5),"")</f>
        <v>3</v>
      </c>
      <c r="T20" s="16" cm="1">
        <f t="array" ref="T20">IFERROR(INDEX(_xlfn.SORTBY(_xlfn._xlws.FILTER('Standings Data'!$B$2:$M$49,'Standings Data'!$A$2:$A$49="I"),_xlfn._xlws.FILTER('Standings Data'!$K$2:$K$49,'Standings Data'!$A$2:$A$49="I"),1),4,6),"")</f>
        <v>1</v>
      </c>
      <c r="U20" s="16" cm="1">
        <f t="array" ref="U20">IFERROR(INDEX(_xlfn.SORTBY(_xlfn._xlws.FILTER('Standings Data'!$B$2:$M$49,'Standings Data'!$A$2:$A$49="I"),_xlfn._xlws.FILTER('Standings Data'!$K$2:$K$49,'Standings Data'!$A$2:$A$49="I"),1),4,7),"")</f>
        <v>12</v>
      </c>
      <c r="V20" s="16" cm="1">
        <f t="array" ref="V20">IFERROR(INDEX(_xlfn.SORTBY(_xlfn._xlws.FILTER('Standings Data'!$B$2:$M$49,'Standings Data'!$A$2:$A$49="I"),_xlfn._xlws.FILTER('Standings Data'!$K$2:$K$49,'Standings Data'!$A$2:$A$49="I"),1),4,8),"")</f>
        <v>-11</v>
      </c>
      <c r="W20" s="16" cm="1">
        <f t="array" ref="W20">IFERROR(INDEX(_xlfn.SORTBY(_xlfn._xlws.FILTER('Standings Data'!$B$2:$M$49,'Standings Data'!$A$2:$A$49="I"),_xlfn._xlws.FILTER('Standings Data'!$K$2:$K$49,'Standings Data'!$A$2:$A$49="I"),1),4,9),"")</f>
        <v>0</v>
      </c>
      <c r="X20" s="16" cm="1">
        <f t="array" ref="X20">IFERROR(INDEX(_xlfn.SORTBY(_xlfn._xlws.FILTER('Standings Data'!$B$2:$M$49,'Standings Data'!$A$2:$A$49="I"),_xlfn._xlws.FILTER('Standings Data'!$K$2:$K$49,'Standings Data'!$A$2:$A$49="I"),1),4,10),"")</f>
        <v>4</v>
      </c>
      <c r="Y20" s="17" t="str" cm="1">
        <f t="array" ref="Y20">IFERROR(INDEX(_xlfn.SORTBY(_xlfn._xlws.FILTER('Standings Data'!$B$2:$M$49,'Standings Data'!$A$2:$A$49="I"),_xlfn._xlws.FILTER('Standings Data'!$K$2:$K$49,'Standings Data'!$A$2:$A$49="I"),1),4,11),"")</f>
        <v>I4</v>
      </c>
      <c r="Z20" s="15" t="str" cm="1">
        <f t="array" ref="Z20">IFERROR(INDEX(_xlfn.SORTBY(_xlfn._xlws.FILTER('Standings Data'!$B$2:$M$49,'Standings Data'!$A$2:$A$49="I"),_xlfn._xlws.FILTER('Standings Data'!$K$2:$K$49,'Standings Data'!$A$2:$A$49="I"),1),4,12),"")</f>
        <v/>
      </c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35">
      <c r="A22" s="49" t="s">
        <v>211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1"/>
      <c r="N22" s="1"/>
      <c r="O22" s="49" t="s">
        <v>217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35">
      <c r="A23" s="14" t="s">
        <v>13</v>
      </c>
      <c r="B23" s="14" t="s">
        <v>102</v>
      </c>
      <c r="C23" s="14" t="s">
        <v>103</v>
      </c>
      <c r="D23" s="14" t="s">
        <v>29</v>
      </c>
      <c r="E23" s="14" t="s">
        <v>69</v>
      </c>
      <c r="F23" s="14" t="s">
        <v>104</v>
      </c>
      <c r="G23" s="14" t="s">
        <v>105</v>
      </c>
      <c r="H23" s="14" t="s">
        <v>106</v>
      </c>
      <c r="I23" s="14" t="s">
        <v>107</v>
      </c>
      <c r="J23" s="14" t="s">
        <v>108</v>
      </c>
      <c r="K23" s="14" t="s">
        <v>109</v>
      </c>
      <c r="L23" s="14" t="s">
        <v>110</v>
      </c>
      <c r="M23" s="1"/>
      <c r="N23" s="1"/>
      <c r="O23" s="14" t="s">
        <v>13</v>
      </c>
      <c r="P23" s="14" t="s">
        <v>102</v>
      </c>
      <c r="Q23" s="14" t="s">
        <v>103</v>
      </c>
      <c r="R23" s="14" t="s">
        <v>29</v>
      </c>
      <c r="S23" s="14" t="s">
        <v>69</v>
      </c>
      <c r="T23" s="14" t="s">
        <v>104</v>
      </c>
      <c r="U23" s="14" t="s">
        <v>105</v>
      </c>
      <c r="V23" s="14" t="s">
        <v>106</v>
      </c>
      <c r="W23" s="14" t="s">
        <v>107</v>
      </c>
      <c r="X23" s="14" t="s">
        <v>108</v>
      </c>
      <c r="Y23" s="14" t="s">
        <v>109</v>
      </c>
      <c r="Z23" s="14" t="s">
        <v>110</v>
      </c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35">
      <c r="A24" s="15" t="str" cm="1">
        <f t="array" ref="A24">IFERROR(INDEX(_xlfn.SORTBY(_xlfn._xlws.FILTER('Standings Data'!$B$2:$M$49,'Standings Data'!$A$2:$A$49="D"),_xlfn._xlws.FILTER('Standings Data'!$K$2:$K$49,'Standings Data'!$A$2:$A$49="D"),1),1,1),"")</f>
        <v>USA</v>
      </c>
      <c r="B24" s="16" cm="1">
        <f t="array" ref="B24">IFERROR(INDEX(_xlfn.SORTBY(_xlfn._xlws.FILTER('Standings Data'!$B$2:$M$49,'Standings Data'!$A$2:$A$49="D"),_xlfn._xlws.FILTER('Standings Data'!$K$2:$K$49,'Standings Data'!$A$2:$A$49="D"),1),1,2),"")</f>
        <v>3</v>
      </c>
      <c r="C24" s="16" cm="1">
        <f t="array" ref="C24">IFERROR(INDEX(_xlfn.SORTBY(_xlfn._xlws.FILTER('Standings Data'!$B$2:$M$49,'Standings Data'!$A$2:$A$49="D"),_xlfn._xlws.FILTER('Standings Data'!$K$2:$K$49,'Standings Data'!$A$2:$A$49="D"),1),1,3),"")</f>
        <v>2</v>
      </c>
      <c r="D24" s="16" cm="1">
        <f t="array" ref="D24">IFERROR(INDEX(_xlfn.SORTBY(_xlfn._xlws.FILTER('Standings Data'!$B$2:$M$49,'Standings Data'!$A$2:$A$49="D"),_xlfn._xlws.FILTER('Standings Data'!$K$2:$K$49,'Standings Data'!$A$2:$A$49="D"),1),1,4),"")</f>
        <v>0</v>
      </c>
      <c r="E24" s="16" cm="1">
        <f t="array" ref="E24">IFERROR(INDEX(_xlfn.SORTBY(_xlfn._xlws.FILTER('Standings Data'!$B$2:$M$49,'Standings Data'!$A$2:$A$49="D"),_xlfn._xlws.FILTER('Standings Data'!$K$2:$K$49,'Standings Data'!$A$2:$A$49="D"),1),1,5),"")</f>
        <v>1</v>
      </c>
      <c r="F24" s="16" cm="1">
        <f t="array" ref="F24">IFERROR(INDEX(_xlfn.SORTBY(_xlfn._xlws.FILTER('Standings Data'!$B$2:$M$49,'Standings Data'!$A$2:$A$49="D"),_xlfn._xlws.FILTER('Standings Data'!$K$2:$K$49,'Standings Data'!$A$2:$A$49="D"),1),1,6),"")</f>
        <v>8</v>
      </c>
      <c r="G24" s="16" cm="1">
        <f t="array" ref="G24">IFERROR(INDEX(_xlfn.SORTBY(_xlfn._xlws.FILTER('Standings Data'!$B$2:$M$49,'Standings Data'!$A$2:$A$49="D"),_xlfn._xlws.FILTER('Standings Data'!$K$2:$K$49,'Standings Data'!$A$2:$A$49="D"),1),1,7),"")</f>
        <v>4</v>
      </c>
      <c r="H24" s="16" cm="1">
        <f t="array" ref="H24">IFERROR(INDEX(_xlfn.SORTBY(_xlfn._xlws.FILTER('Standings Data'!$B$2:$M$49,'Standings Data'!$A$2:$A$49="D"),_xlfn._xlws.FILTER('Standings Data'!$K$2:$K$49,'Standings Data'!$A$2:$A$49="D"),1),1,8),"")</f>
        <v>4</v>
      </c>
      <c r="I24" s="16" cm="1">
        <f t="array" ref="I24">IFERROR(INDEX(_xlfn.SORTBY(_xlfn._xlws.FILTER('Standings Data'!$B$2:$M$49,'Standings Data'!$A$2:$A$49="D"),_xlfn._xlws.FILTER('Standings Data'!$K$2:$K$49,'Standings Data'!$A$2:$A$49="D"),1),1,9),"")</f>
        <v>6</v>
      </c>
      <c r="J24" s="16" cm="1">
        <f t="array" ref="J24">IFERROR(INDEX(_xlfn.SORTBY(_xlfn._xlws.FILTER('Standings Data'!$B$2:$M$49,'Standings Data'!$A$2:$A$49="D"),_xlfn._xlws.FILTER('Standings Data'!$K$2:$K$49,'Standings Data'!$A$2:$A$49="D"),1),1,10),"")</f>
        <v>1</v>
      </c>
      <c r="K24" s="17" t="str" cm="1">
        <f t="array" ref="K24">IFERROR(INDEX(_xlfn.SORTBY(_xlfn._xlws.FILTER('Standings Data'!$B$2:$M$49,'Standings Data'!$A$2:$A$49="D"),_xlfn._xlws.FILTER('Standings Data'!$K$2:$K$49,'Standings Data'!$A$2:$A$49="D"),1),1,11),"")</f>
        <v>D1</v>
      </c>
      <c r="L24" s="15" t="str" cm="1">
        <f t="array" ref="L24">IFERROR(INDEX(_xlfn.SORTBY(_xlfn._xlws.FILTER('Standings Data'!$B$2:$M$49,'Standings Data'!$A$2:$A$49="D"),_xlfn._xlws.FILTER('Standings Data'!$K$2:$K$49,'Standings Data'!$A$2:$A$49="D"),1),1,12),"")</f>
        <v>Qualified</v>
      </c>
      <c r="M24" s="1"/>
      <c r="N24" s="1"/>
      <c r="O24" s="15" t="str" cm="1">
        <f t="array" ref="O24">IFERROR(INDEX(_xlfn.SORTBY(_xlfn._xlws.FILTER('Standings Data'!$B$2:$M$49,'Standings Data'!$A$2:$A$49="J"),_xlfn._xlws.FILTER('Standings Data'!$K$2:$K$49,'Standings Data'!$A$2:$A$49="J"),1),1,1),"")</f>
        <v>Argentina</v>
      </c>
      <c r="P24" s="16" cm="1">
        <f t="array" ref="P24">IFERROR(INDEX(_xlfn.SORTBY(_xlfn._xlws.FILTER('Standings Data'!$B$2:$M$49,'Standings Data'!$A$2:$A$49="J"),_xlfn._xlws.FILTER('Standings Data'!$K$2:$K$49,'Standings Data'!$A$2:$A$49="J"),1),1,2),"")</f>
        <v>3</v>
      </c>
      <c r="Q24" s="16" cm="1">
        <f t="array" ref="Q24">IFERROR(INDEX(_xlfn.SORTBY(_xlfn._xlws.FILTER('Standings Data'!$B$2:$M$49,'Standings Data'!$A$2:$A$49="J"),_xlfn._xlws.FILTER('Standings Data'!$K$2:$K$49,'Standings Data'!$A$2:$A$49="J"),1),1,3),"")</f>
        <v>3</v>
      </c>
      <c r="R24" s="16" cm="1">
        <f t="array" ref="R24">IFERROR(INDEX(_xlfn.SORTBY(_xlfn._xlws.FILTER('Standings Data'!$B$2:$M$49,'Standings Data'!$A$2:$A$49="J"),_xlfn._xlws.FILTER('Standings Data'!$K$2:$K$49,'Standings Data'!$A$2:$A$49="J"),1),1,4),"")</f>
        <v>0</v>
      </c>
      <c r="S24" s="16" cm="1">
        <f t="array" ref="S24">IFERROR(INDEX(_xlfn.SORTBY(_xlfn._xlws.FILTER('Standings Data'!$B$2:$M$49,'Standings Data'!$A$2:$A$49="J"),_xlfn._xlws.FILTER('Standings Data'!$K$2:$K$49,'Standings Data'!$A$2:$A$49="J"),1),1,5),"")</f>
        <v>0</v>
      </c>
      <c r="T24" s="16" cm="1">
        <f t="array" ref="T24">IFERROR(INDEX(_xlfn.SORTBY(_xlfn._xlws.FILTER('Standings Data'!$B$2:$M$49,'Standings Data'!$A$2:$A$49="J"),_xlfn._xlws.FILTER('Standings Data'!$K$2:$K$49,'Standings Data'!$A$2:$A$49="J"),1),1,6),"")</f>
        <v>8</v>
      </c>
      <c r="U24" s="16" cm="1">
        <f t="array" ref="U24">IFERROR(INDEX(_xlfn.SORTBY(_xlfn._xlws.FILTER('Standings Data'!$B$2:$M$49,'Standings Data'!$A$2:$A$49="J"),_xlfn._xlws.FILTER('Standings Data'!$K$2:$K$49,'Standings Data'!$A$2:$A$49="J"),1),1,7),"")</f>
        <v>1</v>
      </c>
      <c r="V24" s="16" cm="1">
        <f t="array" ref="V24">IFERROR(INDEX(_xlfn.SORTBY(_xlfn._xlws.FILTER('Standings Data'!$B$2:$M$49,'Standings Data'!$A$2:$A$49="J"),_xlfn._xlws.FILTER('Standings Data'!$K$2:$K$49,'Standings Data'!$A$2:$A$49="J"),1),1,8),"")</f>
        <v>7</v>
      </c>
      <c r="W24" s="16" cm="1">
        <f t="array" ref="W24">IFERROR(INDEX(_xlfn.SORTBY(_xlfn._xlws.FILTER('Standings Data'!$B$2:$M$49,'Standings Data'!$A$2:$A$49="J"),_xlfn._xlws.FILTER('Standings Data'!$K$2:$K$49,'Standings Data'!$A$2:$A$49="J"),1),1,9),"")</f>
        <v>9</v>
      </c>
      <c r="X24" s="16" cm="1">
        <f t="array" ref="X24">IFERROR(INDEX(_xlfn.SORTBY(_xlfn._xlws.FILTER('Standings Data'!$B$2:$M$49,'Standings Data'!$A$2:$A$49="J"),_xlfn._xlws.FILTER('Standings Data'!$K$2:$K$49,'Standings Data'!$A$2:$A$49="J"),1),1,10),"")</f>
        <v>1</v>
      </c>
      <c r="Y24" s="17" t="str" cm="1">
        <f t="array" ref="Y24">IFERROR(INDEX(_xlfn.SORTBY(_xlfn._xlws.FILTER('Standings Data'!$B$2:$M$49,'Standings Data'!$A$2:$A$49="J"),_xlfn._xlws.FILTER('Standings Data'!$K$2:$K$49,'Standings Data'!$A$2:$A$49="J"),1),1,11),"")</f>
        <v>J1</v>
      </c>
      <c r="Z24" s="15" t="str" cm="1">
        <f t="array" ref="Z24">IFERROR(INDEX(_xlfn.SORTBY(_xlfn._xlws.FILTER('Standings Data'!$B$2:$M$49,'Standings Data'!$A$2:$A$49="J"),_xlfn._xlws.FILTER('Standings Data'!$K$2:$K$49,'Standings Data'!$A$2:$A$49="J"),1),1,12),"")</f>
        <v>Qualified</v>
      </c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35">
      <c r="A25" s="15" t="str" cm="1">
        <f t="array" ref="A25">IFERROR(INDEX(_xlfn.SORTBY(_xlfn._xlws.FILTER('Standings Data'!$B$2:$M$49,'Standings Data'!$A$2:$A$49="D"),_xlfn._xlws.FILTER('Standings Data'!$K$2:$K$49,'Standings Data'!$A$2:$A$49="D"),1),2,1),"")</f>
        <v>Australia</v>
      </c>
      <c r="B25" s="16" cm="1">
        <f t="array" ref="B25">IFERROR(INDEX(_xlfn.SORTBY(_xlfn._xlws.FILTER('Standings Data'!$B$2:$M$49,'Standings Data'!$A$2:$A$49="D"),_xlfn._xlws.FILTER('Standings Data'!$K$2:$K$49,'Standings Data'!$A$2:$A$49="D"),1),2,2),"")</f>
        <v>3</v>
      </c>
      <c r="C25" s="16" cm="1">
        <f t="array" ref="C25">IFERROR(INDEX(_xlfn.SORTBY(_xlfn._xlws.FILTER('Standings Data'!$B$2:$M$49,'Standings Data'!$A$2:$A$49="D"),_xlfn._xlws.FILTER('Standings Data'!$K$2:$K$49,'Standings Data'!$A$2:$A$49="D"),1),2,3),"")</f>
        <v>1</v>
      </c>
      <c r="D25" s="16" cm="1">
        <f t="array" ref="D25">IFERROR(INDEX(_xlfn.SORTBY(_xlfn._xlws.FILTER('Standings Data'!$B$2:$M$49,'Standings Data'!$A$2:$A$49="D"),_xlfn._xlws.FILTER('Standings Data'!$K$2:$K$49,'Standings Data'!$A$2:$A$49="D"),1),2,4),"")</f>
        <v>1</v>
      </c>
      <c r="E25" s="16" cm="1">
        <f t="array" ref="E25">IFERROR(INDEX(_xlfn.SORTBY(_xlfn._xlws.FILTER('Standings Data'!$B$2:$M$49,'Standings Data'!$A$2:$A$49="D"),_xlfn._xlws.FILTER('Standings Data'!$K$2:$K$49,'Standings Data'!$A$2:$A$49="D"),1),2,5),"")</f>
        <v>1</v>
      </c>
      <c r="F25" s="16" cm="1">
        <f t="array" ref="F25">IFERROR(INDEX(_xlfn.SORTBY(_xlfn._xlws.FILTER('Standings Data'!$B$2:$M$49,'Standings Data'!$A$2:$A$49="D"),_xlfn._xlws.FILTER('Standings Data'!$K$2:$K$49,'Standings Data'!$A$2:$A$49="D"),1),2,6),"")</f>
        <v>2</v>
      </c>
      <c r="G25" s="16" cm="1">
        <f t="array" ref="G25">IFERROR(INDEX(_xlfn.SORTBY(_xlfn._xlws.FILTER('Standings Data'!$B$2:$M$49,'Standings Data'!$A$2:$A$49="D"),_xlfn._xlws.FILTER('Standings Data'!$K$2:$K$49,'Standings Data'!$A$2:$A$49="D"),1),2,7),"")</f>
        <v>2</v>
      </c>
      <c r="H25" s="16" cm="1">
        <f t="array" ref="H25">IFERROR(INDEX(_xlfn.SORTBY(_xlfn._xlws.FILTER('Standings Data'!$B$2:$M$49,'Standings Data'!$A$2:$A$49="D"),_xlfn._xlws.FILTER('Standings Data'!$K$2:$K$49,'Standings Data'!$A$2:$A$49="D"),1),2,8),"")</f>
        <v>0</v>
      </c>
      <c r="I25" s="16" cm="1">
        <f t="array" ref="I25">IFERROR(INDEX(_xlfn.SORTBY(_xlfn._xlws.FILTER('Standings Data'!$B$2:$M$49,'Standings Data'!$A$2:$A$49="D"),_xlfn._xlws.FILTER('Standings Data'!$K$2:$K$49,'Standings Data'!$A$2:$A$49="D"),1),2,9),"")</f>
        <v>4</v>
      </c>
      <c r="J25" s="16" cm="1">
        <f t="array" ref="J25">IFERROR(INDEX(_xlfn.SORTBY(_xlfn._xlws.FILTER('Standings Data'!$B$2:$M$49,'Standings Data'!$A$2:$A$49="D"),_xlfn._xlws.FILTER('Standings Data'!$K$2:$K$49,'Standings Data'!$A$2:$A$49="D"),1),2,10),"")</f>
        <v>2</v>
      </c>
      <c r="K25" s="17" t="str" cm="1">
        <f t="array" ref="K25">IFERROR(INDEX(_xlfn.SORTBY(_xlfn._xlws.FILTER('Standings Data'!$B$2:$M$49,'Standings Data'!$A$2:$A$49="D"),_xlfn._xlws.FILTER('Standings Data'!$K$2:$K$49,'Standings Data'!$A$2:$A$49="D"),1),2,11),"")</f>
        <v>D2</v>
      </c>
      <c r="L25" s="15" t="str" cm="1">
        <f t="array" ref="L25">IFERROR(INDEX(_xlfn.SORTBY(_xlfn._xlws.FILTER('Standings Data'!$B$2:$M$49,'Standings Data'!$A$2:$A$49="D"),_xlfn._xlws.FILTER('Standings Data'!$K$2:$K$49,'Standings Data'!$A$2:$A$49="D"),1),2,12),"")</f>
        <v>Qualified</v>
      </c>
      <c r="M25" s="1"/>
      <c r="N25" s="1"/>
      <c r="O25" s="15" t="str" cm="1">
        <f t="array" ref="O25">IFERROR(INDEX(_xlfn.SORTBY(_xlfn._xlws.FILTER('Standings Data'!$B$2:$M$49,'Standings Data'!$A$2:$A$49="J"),_xlfn._xlws.FILTER('Standings Data'!$K$2:$K$49,'Standings Data'!$A$2:$A$49="J"),1),2,1),"")</f>
        <v>Austria</v>
      </c>
      <c r="P25" s="16" cm="1">
        <f t="array" ref="P25">IFERROR(INDEX(_xlfn.SORTBY(_xlfn._xlws.FILTER('Standings Data'!$B$2:$M$49,'Standings Data'!$A$2:$A$49="J"),_xlfn._xlws.FILTER('Standings Data'!$K$2:$K$49,'Standings Data'!$A$2:$A$49="J"),1),2,2),"")</f>
        <v>3</v>
      </c>
      <c r="Q25" s="16" cm="1">
        <f t="array" ref="Q25">IFERROR(INDEX(_xlfn.SORTBY(_xlfn._xlws.FILTER('Standings Data'!$B$2:$M$49,'Standings Data'!$A$2:$A$49="J"),_xlfn._xlws.FILTER('Standings Data'!$K$2:$K$49,'Standings Data'!$A$2:$A$49="J"),1),2,3),"")</f>
        <v>1</v>
      </c>
      <c r="R25" s="16" cm="1">
        <f t="array" ref="R25">IFERROR(INDEX(_xlfn.SORTBY(_xlfn._xlws.FILTER('Standings Data'!$B$2:$M$49,'Standings Data'!$A$2:$A$49="J"),_xlfn._xlws.FILTER('Standings Data'!$K$2:$K$49,'Standings Data'!$A$2:$A$49="J"),1),2,4),"")</f>
        <v>1</v>
      </c>
      <c r="S25" s="16" cm="1">
        <f t="array" ref="S25">IFERROR(INDEX(_xlfn.SORTBY(_xlfn._xlws.FILTER('Standings Data'!$B$2:$M$49,'Standings Data'!$A$2:$A$49="J"),_xlfn._xlws.FILTER('Standings Data'!$K$2:$K$49,'Standings Data'!$A$2:$A$49="J"),1),2,5),"")</f>
        <v>1</v>
      </c>
      <c r="T25" s="16" cm="1">
        <f t="array" ref="T25">IFERROR(INDEX(_xlfn.SORTBY(_xlfn._xlws.FILTER('Standings Data'!$B$2:$M$49,'Standings Data'!$A$2:$A$49="J"),_xlfn._xlws.FILTER('Standings Data'!$K$2:$K$49,'Standings Data'!$A$2:$A$49="J"),1),2,6),"")</f>
        <v>6</v>
      </c>
      <c r="U25" s="16" cm="1">
        <f t="array" ref="U25">IFERROR(INDEX(_xlfn.SORTBY(_xlfn._xlws.FILTER('Standings Data'!$B$2:$M$49,'Standings Data'!$A$2:$A$49="J"),_xlfn._xlws.FILTER('Standings Data'!$K$2:$K$49,'Standings Data'!$A$2:$A$49="J"),1),2,7),"")</f>
        <v>6</v>
      </c>
      <c r="V25" s="16" cm="1">
        <f t="array" ref="V25">IFERROR(INDEX(_xlfn.SORTBY(_xlfn._xlws.FILTER('Standings Data'!$B$2:$M$49,'Standings Data'!$A$2:$A$49="J"),_xlfn._xlws.FILTER('Standings Data'!$K$2:$K$49,'Standings Data'!$A$2:$A$49="J"),1),2,8),"")</f>
        <v>0</v>
      </c>
      <c r="W25" s="16" cm="1">
        <f t="array" ref="W25">IFERROR(INDEX(_xlfn.SORTBY(_xlfn._xlws.FILTER('Standings Data'!$B$2:$M$49,'Standings Data'!$A$2:$A$49="J"),_xlfn._xlws.FILTER('Standings Data'!$K$2:$K$49,'Standings Data'!$A$2:$A$49="J"),1),2,9),"")</f>
        <v>4</v>
      </c>
      <c r="X25" s="16" cm="1">
        <f t="array" ref="X25">IFERROR(INDEX(_xlfn.SORTBY(_xlfn._xlws.FILTER('Standings Data'!$B$2:$M$49,'Standings Data'!$A$2:$A$49="J"),_xlfn._xlws.FILTER('Standings Data'!$K$2:$K$49,'Standings Data'!$A$2:$A$49="J"),1),2,10),"")</f>
        <v>2</v>
      </c>
      <c r="Y25" s="17" t="str" cm="1">
        <f t="array" ref="Y25">IFERROR(INDEX(_xlfn.SORTBY(_xlfn._xlws.FILTER('Standings Data'!$B$2:$M$49,'Standings Data'!$A$2:$A$49="J"),_xlfn._xlws.FILTER('Standings Data'!$K$2:$K$49,'Standings Data'!$A$2:$A$49="J"),1),2,11),"")</f>
        <v>J2</v>
      </c>
      <c r="Z25" s="15" t="str" cm="1">
        <f t="array" ref="Z25">IFERROR(INDEX(_xlfn.SORTBY(_xlfn._xlws.FILTER('Standings Data'!$B$2:$M$49,'Standings Data'!$A$2:$A$49="J"),_xlfn._xlws.FILTER('Standings Data'!$K$2:$K$49,'Standings Data'!$A$2:$A$49="J"),1),2,12),"")</f>
        <v>Qualified</v>
      </c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35">
      <c r="A26" s="15" t="str" cm="1">
        <f t="array" ref="A26">IFERROR(INDEX(_xlfn.SORTBY(_xlfn._xlws.FILTER('Standings Data'!$B$2:$M$49,'Standings Data'!$A$2:$A$49="D"),_xlfn._xlws.FILTER('Standings Data'!$K$2:$K$49,'Standings Data'!$A$2:$A$49="D"),1),3,1),"")</f>
        <v>Paraguay</v>
      </c>
      <c r="B26" s="16" cm="1">
        <f t="array" ref="B26">IFERROR(INDEX(_xlfn.SORTBY(_xlfn._xlws.FILTER('Standings Data'!$B$2:$M$49,'Standings Data'!$A$2:$A$49="D"),_xlfn._xlws.FILTER('Standings Data'!$K$2:$K$49,'Standings Data'!$A$2:$A$49="D"),1),3,2),"")</f>
        <v>3</v>
      </c>
      <c r="C26" s="16" cm="1">
        <f t="array" ref="C26">IFERROR(INDEX(_xlfn.SORTBY(_xlfn._xlws.FILTER('Standings Data'!$B$2:$M$49,'Standings Data'!$A$2:$A$49="D"),_xlfn._xlws.FILTER('Standings Data'!$K$2:$K$49,'Standings Data'!$A$2:$A$49="D"),1),3,3),"")</f>
        <v>1</v>
      </c>
      <c r="D26" s="16" cm="1">
        <f t="array" ref="D26">IFERROR(INDEX(_xlfn.SORTBY(_xlfn._xlws.FILTER('Standings Data'!$B$2:$M$49,'Standings Data'!$A$2:$A$49="D"),_xlfn._xlws.FILTER('Standings Data'!$K$2:$K$49,'Standings Data'!$A$2:$A$49="D"),1),3,4),"")</f>
        <v>1</v>
      </c>
      <c r="E26" s="16" cm="1">
        <f t="array" ref="E26">IFERROR(INDEX(_xlfn.SORTBY(_xlfn._xlws.FILTER('Standings Data'!$B$2:$M$49,'Standings Data'!$A$2:$A$49="D"),_xlfn._xlws.FILTER('Standings Data'!$K$2:$K$49,'Standings Data'!$A$2:$A$49="D"),1),3,5),"")</f>
        <v>1</v>
      </c>
      <c r="F26" s="16" cm="1">
        <f t="array" ref="F26">IFERROR(INDEX(_xlfn.SORTBY(_xlfn._xlws.FILTER('Standings Data'!$B$2:$M$49,'Standings Data'!$A$2:$A$49="D"),_xlfn._xlws.FILTER('Standings Data'!$K$2:$K$49,'Standings Data'!$A$2:$A$49="D"),1),3,6),"")</f>
        <v>2</v>
      </c>
      <c r="G26" s="16" cm="1">
        <f t="array" ref="G26">IFERROR(INDEX(_xlfn.SORTBY(_xlfn._xlws.FILTER('Standings Data'!$B$2:$M$49,'Standings Data'!$A$2:$A$49="D"),_xlfn._xlws.FILTER('Standings Data'!$K$2:$K$49,'Standings Data'!$A$2:$A$49="D"),1),3,7),"")</f>
        <v>4</v>
      </c>
      <c r="H26" s="16" cm="1">
        <f t="array" ref="H26">IFERROR(INDEX(_xlfn.SORTBY(_xlfn._xlws.FILTER('Standings Data'!$B$2:$M$49,'Standings Data'!$A$2:$A$49="D"),_xlfn._xlws.FILTER('Standings Data'!$K$2:$K$49,'Standings Data'!$A$2:$A$49="D"),1),3,8),"")</f>
        <v>-2</v>
      </c>
      <c r="I26" s="16" cm="1">
        <f t="array" ref="I26">IFERROR(INDEX(_xlfn.SORTBY(_xlfn._xlws.FILTER('Standings Data'!$B$2:$M$49,'Standings Data'!$A$2:$A$49="D"),_xlfn._xlws.FILTER('Standings Data'!$K$2:$K$49,'Standings Data'!$A$2:$A$49="D"),1),3,9),"")</f>
        <v>4</v>
      </c>
      <c r="J26" s="16" cm="1">
        <f t="array" ref="J26">IFERROR(INDEX(_xlfn.SORTBY(_xlfn._xlws.FILTER('Standings Data'!$B$2:$M$49,'Standings Data'!$A$2:$A$49="D"),_xlfn._xlws.FILTER('Standings Data'!$K$2:$K$49,'Standings Data'!$A$2:$A$49="D"),1),3,10),"")</f>
        <v>3</v>
      </c>
      <c r="K26" s="17" t="str" cm="1">
        <f t="array" ref="K26">IFERROR(INDEX(_xlfn.SORTBY(_xlfn._xlws.FILTER('Standings Data'!$B$2:$M$49,'Standings Data'!$A$2:$A$49="D"),_xlfn._xlws.FILTER('Standings Data'!$K$2:$K$49,'Standings Data'!$A$2:$A$49="D"),1),3,11),"")</f>
        <v>D3</v>
      </c>
      <c r="L26" s="15" t="str" cm="1">
        <f t="array" ref="L26">IFERROR(INDEX(_xlfn.SORTBY(_xlfn._xlws.FILTER('Standings Data'!$B$2:$M$49,'Standings Data'!$A$2:$A$49="D"),_xlfn._xlws.FILTER('Standings Data'!$K$2:$K$49,'Standings Data'!$A$2:$A$49="D"),1),3,12),"")</f>
        <v>Third-place pool</v>
      </c>
      <c r="M26" s="1"/>
      <c r="N26" s="1"/>
      <c r="O26" s="15" t="str" cm="1">
        <f t="array" ref="O26">IFERROR(INDEX(_xlfn.SORTBY(_xlfn._xlws.FILTER('Standings Data'!$B$2:$M$49,'Standings Data'!$A$2:$A$49="J"),_xlfn._xlws.FILTER('Standings Data'!$K$2:$K$49,'Standings Data'!$A$2:$A$49="J"),1),3,1),"")</f>
        <v>Algeria</v>
      </c>
      <c r="P26" s="16" cm="1">
        <f t="array" ref="P26">IFERROR(INDEX(_xlfn.SORTBY(_xlfn._xlws.FILTER('Standings Data'!$B$2:$M$49,'Standings Data'!$A$2:$A$49="J"),_xlfn._xlws.FILTER('Standings Data'!$K$2:$K$49,'Standings Data'!$A$2:$A$49="J"),1),3,2),"")</f>
        <v>3</v>
      </c>
      <c r="Q26" s="16" cm="1">
        <f t="array" ref="Q26">IFERROR(INDEX(_xlfn.SORTBY(_xlfn._xlws.FILTER('Standings Data'!$B$2:$M$49,'Standings Data'!$A$2:$A$49="J"),_xlfn._xlws.FILTER('Standings Data'!$K$2:$K$49,'Standings Data'!$A$2:$A$49="J"),1),3,3),"")</f>
        <v>1</v>
      </c>
      <c r="R26" s="16" cm="1">
        <f t="array" ref="R26">IFERROR(INDEX(_xlfn.SORTBY(_xlfn._xlws.FILTER('Standings Data'!$B$2:$M$49,'Standings Data'!$A$2:$A$49="J"),_xlfn._xlws.FILTER('Standings Data'!$K$2:$K$49,'Standings Data'!$A$2:$A$49="J"),1),3,4),"")</f>
        <v>1</v>
      </c>
      <c r="S26" s="16" cm="1">
        <f t="array" ref="S26">IFERROR(INDEX(_xlfn.SORTBY(_xlfn._xlws.FILTER('Standings Data'!$B$2:$M$49,'Standings Data'!$A$2:$A$49="J"),_xlfn._xlws.FILTER('Standings Data'!$K$2:$K$49,'Standings Data'!$A$2:$A$49="J"),1),3,5),"")</f>
        <v>1</v>
      </c>
      <c r="T26" s="16" cm="1">
        <f t="array" ref="T26">IFERROR(INDEX(_xlfn.SORTBY(_xlfn._xlws.FILTER('Standings Data'!$B$2:$M$49,'Standings Data'!$A$2:$A$49="J"),_xlfn._xlws.FILTER('Standings Data'!$K$2:$K$49,'Standings Data'!$A$2:$A$49="J"),1),3,6),"")</f>
        <v>5</v>
      </c>
      <c r="U26" s="16" cm="1">
        <f t="array" ref="U26">IFERROR(INDEX(_xlfn.SORTBY(_xlfn._xlws.FILTER('Standings Data'!$B$2:$M$49,'Standings Data'!$A$2:$A$49="J"),_xlfn._xlws.FILTER('Standings Data'!$K$2:$K$49,'Standings Data'!$A$2:$A$49="J"),1),3,7),"")</f>
        <v>7</v>
      </c>
      <c r="V26" s="16" cm="1">
        <f t="array" ref="V26">IFERROR(INDEX(_xlfn.SORTBY(_xlfn._xlws.FILTER('Standings Data'!$B$2:$M$49,'Standings Data'!$A$2:$A$49="J"),_xlfn._xlws.FILTER('Standings Data'!$K$2:$K$49,'Standings Data'!$A$2:$A$49="J"),1),3,8),"")</f>
        <v>-2</v>
      </c>
      <c r="W26" s="16" cm="1">
        <f t="array" ref="W26">IFERROR(INDEX(_xlfn.SORTBY(_xlfn._xlws.FILTER('Standings Data'!$B$2:$M$49,'Standings Data'!$A$2:$A$49="J"),_xlfn._xlws.FILTER('Standings Data'!$K$2:$K$49,'Standings Data'!$A$2:$A$49="J"),1),3,9),"")</f>
        <v>4</v>
      </c>
      <c r="X26" s="16" cm="1">
        <f t="array" ref="X26">IFERROR(INDEX(_xlfn.SORTBY(_xlfn._xlws.FILTER('Standings Data'!$B$2:$M$49,'Standings Data'!$A$2:$A$49="J"),_xlfn._xlws.FILTER('Standings Data'!$K$2:$K$49,'Standings Data'!$A$2:$A$49="J"),1),3,10),"")</f>
        <v>3</v>
      </c>
      <c r="Y26" s="17" t="str" cm="1">
        <f t="array" ref="Y26">IFERROR(INDEX(_xlfn.SORTBY(_xlfn._xlws.FILTER('Standings Data'!$B$2:$M$49,'Standings Data'!$A$2:$A$49="J"),_xlfn._xlws.FILTER('Standings Data'!$K$2:$K$49,'Standings Data'!$A$2:$A$49="J"),1),3,11),"")</f>
        <v>J3</v>
      </c>
      <c r="Z26" s="15" t="str" cm="1">
        <f t="array" ref="Z26">IFERROR(INDEX(_xlfn.SORTBY(_xlfn._xlws.FILTER('Standings Data'!$B$2:$M$49,'Standings Data'!$A$2:$A$49="J"),_xlfn._xlws.FILTER('Standings Data'!$K$2:$K$49,'Standings Data'!$A$2:$A$49="J"),1),3,12),"")</f>
        <v>Third-place pool</v>
      </c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35">
      <c r="A27" s="15" t="str" cm="1">
        <f t="array" ref="A27">IFERROR(INDEX(_xlfn.SORTBY(_xlfn._xlws.FILTER('Standings Data'!$B$2:$M$49,'Standings Data'!$A$2:$A$49="D"),_xlfn._xlws.FILTER('Standings Data'!$K$2:$K$49,'Standings Data'!$A$2:$A$49="D"),1),4,1),"")</f>
        <v>Türkiye</v>
      </c>
      <c r="B27" s="16" cm="1">
        <f t="array" ref="B27">IFERROR(INDEX(_xlfn.SORTBY(_xlfn._xlws.FILTER('Standings Data'!$B$2:$M$49,'Standings Data'!$A$2:$A$49="D"),_xlfn._xlws.FILTER('Standings Data'!$K$2:$K$49,'Standings Data'!$A$2:$A$49="D"),1),4,2),"")</f>
        <v>3</v>
      </c>
      <c r="C27" s="16" cm="1">
        <f t="array" ref="C27">IFERROR(INDEX(_xlfn.SORTBY(_xlfn._xlws.FILTER('Standings Data'!$B$2:$M$49,'Standings Data'!$A$2:$A$49="D"),_xlfn._xlws.FILTER('Standings Data'!$K$2:$K$49,'Standings Data'!$A$2:$A$49="D"),1),4,3),"")</f>
        <v>1</v>
      </c>
      <c r="D27" s="16" cm="1">
        <f t="array" ref="D27">IFERROR(INDEX(_xlfn.SORTBY(_xlfn._xlws.FILTER('Standings Data'!$B$2:$M$49,'Standings Data'!$A$2:$A$49="D"),_xlfn._xlws.FILTER('Standings Data'!$K$2:$K$49,'Standings Data'!$A$2:$A$49="D"),1),4,4),"")</f>
        <v>0</v>
      </c>
      <c r="E27" s="16" cm="1">
        <f t="array" ref="E27">IFERROR(INDEX(_xlfn.SORTBY(_xlfn._xlws.FILTER('Standings Data'!$B$2:$M$49,'Standings Data'!$A$2:$A$49="D"),_xlfn._xlws.FILTER('Standings Data'!$K$2:$K$49,'Standings Data'!$A$2:$A$49="D"),1),4,5),"")</f>
        <v>2</v>
      </c>
      <c r="F27" s="16" cm="1">
        <f t="array" ref="F27">IFERROR(INDEX(_xlfn.SORTBY(_xlfn._xlws.FILTER('Standings Data'!$B$2:$M$49,'Standings Data'!$A$2:$A$49="D"),_xlfn._xlws.FILTER('Standings Data'!$K$2:$K$49,'Standings Data'!$A$2:$A$49="D"),1),4,6),"")</f>
        <v>3</v>
      </c>
      <c r="G27" s="16" cm="1">
        <f t="array" ref="G27">IFERROR(INDEX(_xlfn.SORTBY(_xlfn._xlws.FILTER('Standings Data'!$B$2:$M$49,'Standings Data'!$A$2:$A$49="D"),_xlfn._xlws.FILTER('Standings Data'!$K$2:$K$49,'Standings Data'!$A$2:$A$49="D"),1),4,7),"")</f>
        <v>5</v>
      </c>
      <c r="H27" s="16" cm="1">
        <f t="array" ref="H27">IFERROR(INDEX(_xlfn.SORTBY(_xlfn._xlws.FILTER('Standings Data'!$B$2:$M$49,'Standings Data'!$A$2:$A$49="D"),_xlfn._xlws.FILTER('Standings Data'!$K$2:$K$49,'Standings Data'!$A$2:$A$49="D"),1),4,8),"")</f>
        <v>-2</v>
      </c>
      <c r="I27" s="16" cm="1">
        <f t="array" ref="I27">IFERROR(INDEX(_xlfn.SORTBY(_xlfn._xlws.FILTER('Standings Data'!$B$2:$M$49,'Standings Data'!$A$2:$A$49="D"),_xlfn._xlws.FILTER('Standings Data'!$K$2:$K$49,'Standings Data'!$A$2:$A$49="D"),1),4,9),"")</f>
        <v>3</v>
      </c>
      <c r="J27" s="16" cm="1">
        <f t="array" ref="J27">IFERROR(INDEX(_xlfn.SORTBY(_xlfn._xlws.FILTER('Standings Data'!$B$2:$M$49,'Standings Data'!$A$2:$A$49="D"),_xlfn._xlws.FILTER('Standings Data'!$K$2:$K$49,'Standings Data'!$A$2:$A$49="D"),1),4,10),"")</f>
        <v>4</v>
      </c>
      <c r="K27" s="17" t="str" cm="1">
        <f t="array" ref="K27">IFERROR(INDEX(_xlfn.SORTBY(_xlfn._xlws.FILTER('Standings Data'!$B$2:$M$49,'Standings Data'!$A$2:$A$49="D"),_xlfn._xlws.FILTER('Standings Data'!$K$2:$K$49,'Standings Data'!$A$2:$A$49="D"),1),4,11),"")</f>
        <v>D4</v>
      </c>
      <c r="L27" s="15" t="str" cm="1">
        <f t="array" ref="L27">IFERROR(INDEX(_xlfn.SORTBY(_xlfn._xlws.FILTER('Standings Data'!$B$2:$M$49,'Standings Data'!$A$2:$A$49="D"),_xlfn._xlws.FILTER('Standings Data'!$K$2:$K$49,'Standings Data'!$A$2:$A$49="D"),1),4,12),"")</f>
        <v/>
      </c>
      <c r="M27" s="1"/>
      <c r="N27" s="1"/>
      <c r="O27" s="15" t="str" cm="1">
        <f t="array" ref="O27">IFERROR(INDEX(_xlfn.SORTBY(_xlfn._xlws.FILTER('Standings Data'!$B$2:$M$49,'Standings Data'!$A$2:$A$49="J"),_xlfn._xlws.FILTER('Standings Data'!$K$2:$K$49,'Standings Data'!$A$2:$A$49="J"),1),4,1),"")</f>
        <v>Jordan</v>
      </c>
      <c r="P27" s="16" cm="1">
        <f t="array" ref="P27">IFERROR(INDEX(_xlfn.SORTBY(_xlfn._xlws.FILTER('Standings Data'!$B$2:$M$49,'Standings Data'!$A$2:$A$49="J"),_xlfn._xlws.FILTER('Standings Data'!$K$2:$K$49,'Standings Data'!$A$2:$A$49="J"),1),4,2),"")</f>
        <v>3</v>
      </c>
      <c r="Q27" s="16" cm="1">
        <f t="array" ref="Q27">IFERROR(INDEX(_xlfn.SORTBY(_xlfn._xlws.FILTER('Standings Data'!$B$2:$M$49,'Standings Data'!$A$2:$A$49="J"),_xlfn._xlws.FILTER('Standings Data'!$K$2:$K$49,'Standings Data'!$A$2:$A$49="J"),1),4,3),"")</f>
        <v>0</v>
      </c>
      <c r="R27" s="16" cm="1">
        <f t="array" ref="R27">IFERROR(INDEX(_xlfn.SORTBY(_xlfn._xlws.FILTER('Standings Data'!$B$2:$M$49,'Standings Data'!$A$2:$A$49="J"),_xlfn._xlws.FILTER('Standings Data'!$K$2:$K$49,'Standings Data'!$A$2:$A$49="J"),1),4,4),"")</f>
        <v>0</v>
      </c>
      <c r="S27" s="16" cm="1">
        <f t="array" ref="S27">IFERROR(INDEX(_xlfn.SORTBY(_xlfn._xlws.FILTER('Standings Data'!$B$2:$M$49,'Standings Data'!$A$2:$A$49="J"),_xlfn._xlws.FILTER('Standings Data'!$K$2:$K$49,'Standings Data'!$A$2:$A$49="J"),1),4,5),"")</f>
        <v>3</v>
      </c>
      <c r="T27" s="16" cm="1">
        <f t="array" ref="T27">IFERROR(INDEX(_xlfn.SORTBY(_xlfn._xlws.FILTER('Standings Data'!$B$2:$M$49,'Standings Data'!$A$2:$A$49="J"),_xlfn._xlws.FILTER('Standings Data'!$K$2:$K$49,'Standings Data'!$A$2:$A$49="J"),1),4,6),"")</f>
        <v>3</v>
      </c>
      <c r="U27" s="16" cm="1">
        <f t="array" ref="U27">IFERROR(INDEX(_xlfn.SORTBY(_xlfn._xlws.FILTER('Standings Data'!$B$2:$M$49,'Standings Data'!$A$2:$A$49="J"),_xlfn._xlws.FILTER('Standings Data'!$K$2:$K$49,'Standings Data'!$A$2:$A$49="J"),1),4,7),"")</f>
        <v>8</v>
      </c>
      <c r="V27" s="16" cm="1">
        <f t="array" ref="V27">IFERROR(INDEX(_xlfn.SORTBY(_xlfn._xlws.FILTER('Standings Data'!$B$2:$M$49,'Standings Data'!$A$2:$A$49="J"),_xlfn._xlws.FILTER('Standings Data'!$K$2:$K$49,'Standings Data'!$A$2:$A$49="J"),1),4,8),"")</f>
        <v>-5</v>
      </c>
      <c r="W27" s="16" cm="1">
        <f t="array" ref="W27">IFERROR(INDEX(_xlfn.SORTBY(_xlfn._xlws.FILTER('Standings Data'!$B$2:$M$49,'Standings Data'!$A$2:$A$49="J"),_xlfn._xlws.FILTER('Standings Data'!$K$2:$K$49,'Standings Data'!$A$2:$A$49="J"),1),4,9),"")</f>
        <v>0</v>
      </c>
      <c r="X27" s="16" cm="1">
        <f t="array" ref="X27">IFERROR(INDEX(_xlfn.SORTBY(_xlfn._xlws.FILTER('Standings Data'!$B$2:$M$49,'Standings Data'!$A$2:$A$49="J"),_xlfn._xlws.FILTER('Standings Data'!$K$2:$K$49,'Standings Data'!$A$2:$A$49="J"),1),4,10),"")</f>
        <v>4</v>
      </c>
      <c r="Y27" s="17" t="str" cm="1">
        <f t="array" ref="Y27">IFERROR(INDEX(_xlfn.SORTBY(_xlfn._xlws.FILTER('Standings Data'!$B$2:$M$49,'Standings Data'!$A$2:$A$49="J"),_xlfn._xlws.FILTER('Standings Data'!$K$2:$K$49,'Standings Data'!$A$2:$A$49="J"),1),4,11),"")</f>
        <v>J4</v>
      </c>
      <c r="Z27" s="15" t="str" cm="1">
        <f t="array" ref="Z27">IFERROR(INDEX(_xlfn.SORTBY(_xlfn._xlws.FILTER('Standings Data'!$B$2:$M$49,'Standings Data'!$A$2:$A$49="J"),_xlfn._xlws.FILTER('Standings Data'!$K$2:$K$49,'Standings Data'!$A$2:$A$49="J"),1),4,12),"")</f>
        <v/>
      </c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35">
      <c r="A29" s="49" t="s">
        <v>212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1"/>
      <c r="N29" s="1"/>
      <c r="O29" s="49" t="s">
        <v>218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35">
      <c r="A30" s="14" t="s">
        <v>13</v>
      </c>
      <c r="B30" s="14" t="s">
        <v>102</v>
      </c>
      <c r="C30" s="14" t="s">
        <v>103</v>
      </c>
      <c r="D30" s="14" t="s">
        <v>29</v>
      </c>
      <c r="E30" s="14" t="s">
        <v>69</v>
      </c>
      <c r="F30" s="14" t="s">
        <v>104</v>
      </c>
      <c r="G30" s="14" t="s">
        <v>105</v>
      </c>
      <c r="H30" s="14" t="s">
        <v>106</v>
      </c>
      <c r="I30" s="14" t="s">
        <v>107</v>
      </c>
      <c r="J30" s="14" t="s">
        <v>108</v>
      </c>
      <c r="K30" s="14" t="s">
        <v>109</v>
      </c>
      <c r="L30" s="14" t="s">
        <v>110</v>
      </c>
      <c r="M30" s="1"/>
      <c r="N30" s="1"/>
      <c r="O30" s="14" t="s">
        <v>13</v>
      </c>
      <c r="P30" s="14" t="s">
        <v>102</v>
      </c>
      <c r="Q30" s="14" t="s">
        <v>103</v>
      </c>
      <c r="R30" s="14" t="s">
        <v>29</v>
      </c>
      <c r="S30" s="14" t="s">
        <v>69</v>
      </c>
      <c r="T30" s="14" t="s">
        <v>104</v>
      </c>
      <c r="U30" s="14" t="s">
        <v>105</v>
      </c>
      <c r="V30" s="14" t="s">
        <v>106</v>
      </c>
      <c r="W30" s="14" t="s">
        <v>107</v>
      </c>
      <c r="X30" s="14" t="s">
        <v>108</v>
      </c>
      <c r="Y30" s="14" t="s">
        <v>109</v>
      </c>
      <c r="Z30" s="14" t="s">
        <v>110</v>
      </c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35">
      <c r="A31" s="15" t="str" cm="1">
        <f t="array" ref="A31">IFERROR(INDEX(_xlfn.SORTBY(_xlfn._xlws.FILTER('Standings Data'!$B$2:$M$49,'Standings Data'!$A$2:$A$49="E"),_xlfn._xlws.FILTER('Standings Data'!$K$2:$K$49,'Standings Data'!$A$2:$A$49="E"),1),1,1),"")</f>
        <v>Germany</v>
      </c>
      <c r="B31" s="16" cm="1">
        <f t="array" ref="B31">IFERROR(INDEX(_xlfn.SORTBY(_xlfn._xlws.FILTER('Standings Data'!$B$2:$M$49,'Standings Data'!$A$2:$A$49="E"),_xlfn._xlws.FILTER('Standings Data'!$K$2:$K$49,'Standings Data'!$A$2:$A$49="E"),1),1,2),"")</f>
        <v>3</v>
      </c>
      <c r="C31" s="16" cm="1">
        <f t="array" ref="C31">IFERROR(INDEX(_xlfn.SORTBY(_xlfn._xlws.FILTER('Standings Data'!$B$2:$M$49,'Standings Data'!$A$2:$A$49="E"),_xlfn._xlws.FILTER('Standings Data'!$K$2:$K$49,'Standings Data'!$A$2:$A$49="E"),1),1,3),"")</f>
        <v>2</v>
      </c>
      <c r="D31" s="16" cm="1">
        <f t="array" ref="D31">IFERROR(INDEX(_xlfn.SORTBY(_xlfn._xlws.FILTER('Standings Data'!$B$2:$M$49,'Standings Data'!$A$2:$A$49="E"),_xlfn._xlws.FILTER('Standings Data'!$K$2:$K$49,'Standings Data'!$A$2:$A$49="E"),1),1,4),"")</f>
        <v>0</v>
      </c>
      <c r="E31" s="16" cm="1">
        <f t="array" ref="E31">IFERROR(INDEX(_xlfn.SORTBY(_xlfn._xlws.FILTER('Standings Data'!$B$2:$M$49,'Standings Data'!$A$2:$A$49="E"),_xlfn._xlws.FILTER('Standings Data'!$K$2:$K$49,'Standings Data'!$A$2:$A$49="E"),1),1,5),"")</f>
        <v>1</v>
      </c>
      <c r="F31" s="16" cm="1">
        <f t="array" ref="F31">IFERROR(INDEX(_xlfn.SORTBY(_xlfn._xlws.FILTER('Standings Data'!$B$2:$M$49,'Standings Data'!$A$2:$A$49="E"),_xlfn._xlws.FILTER('Standings Data'!$K$2:$K$49,'Standings Data'!$A$2:$A$49="E"),1),1,6),"")</f>
        <v>10</v>
      </c>
      <c r="G31" s="16" cm="1">
        <f t="array" ref="G31">IFERROR(INDEX(_xlfn.SORTBY(_xlfn._xlws.FILTER('Standings Data'!$B$2:$M$49,'Standings Data'!$A$2:$A$49="E"),_xlfn._xlws.FILTER('Standings Data'!$K$2:$K$49,'Standings Data'!$A$2:$A$49="E"),1),1,7),"")</f>
        <v>4</v>
      </c>
      <c r="H31" s="16" cm="1">
        <f t="array" ref="H31">IFERROR(INDEX(_xlfn.SORTBY(_xlfn._xlws.FILTER('Standings Data'!$B$2:$M$49,'Standings Data'!$A$2:$A$49="E"),_xlfn._xlws.FILTER('Standings Data'!$K$2:$K$49,'Standings Data'!$A$2:$A$49="E"),1),1,8),"")</f>
        <v>6</v>
      </c>
      <c r="I31" s="16" cm="1">
        <f t="array" ref="I31">IFERROR(INDEX(_xlfn.SORTBY(_xlfn._xlws.FILTER('Standings Data'!$B$2:$M$49,'Standings Data'!$A$2:$A$49="E"),_xlfn._xlws.FILTER('Standings Data'!$K$2:$K$49,'Standings Data'!$A$2:$A$49="E"),1),1,9),"")</f>
        <v>6</v>
      </c>
      <c r="J31" s="16" cm="1">
        <f t="array" ref="J31">IFERROR(INDEX(_xlfn.SORTBY(_xlfn._xlws.FILTER('Standings Data'!$B$2:$M$49,'Standings Data'!$A$2:$A$49="E"),_xlfn._xlws.FILTER('Standings Data'!$K$2:$K$49,'Standings Data'!$A$2:$A$49="E"),1),1,10),"")</f>
        <v>1</v>
      </c>
      <c r="K31" s="17" t="str" cm="1">
        <f t="array" ref="K31">IFERROR(INDEX(_xlfn.SORTBY(_xlfn._xlws.FILTER('Standings Data'!$B$2:$M$49,'Standings Data'!$A$2:$A$49="E"),_xlfn._xlws.FILTER('Standings Data'!$K$2:$K$49,'Standings Data'!$A$2:$A$49="E"),1),1,11),"")</f>
        <v>E1</v>
      </c>
      <c r="L31" s="15" t="str" cm="1">
        <f t="array" ref="L31">IFERROR(INDEX(_xlfn.SORTBY(_xlfn._xlws.FILTER('Standings Data'!$B$2:$M$49,'Standings Data'!$A$2:$A$49="E"),_xlfn._xlws.FILTER('Standings Data'!$K$2:$K$49,'Standings Data'!$A$2:$A$49="E"),1),1,12),"")</f>
        <v>Qualified</v>
      </c>
      <c r="M31" s="1"/>
      <c r="N31" s="1"/>
      <c r="O31" s="15" t="str" cm="1">
        <f t="array" ref="O31">IFERROR(INDEX(_xlfn.SORTBY(_xlfn._xlws.FILTER('Standings Data'!$B$2:$M$49,'Standings Data'!$A$2:$A$49="K"),_xlfn._xlws.FILTER('Standings Data'!$K$2:$K$49,'Standings Data'!$A$2:$A$49="K"),1),1,1),"")</f>
        <v>Colombia</v>
      </c>
      <c r="P31" s="16" cm="1">
        <f t="array" ref="P31">IFERROR(INDEX(_xlfn.SORTBY(_xlfn._xlws.FILTER('Standings Data'!$B$2:$M$49,'Standings Data'!$A$2:$A$49="K"),_xlfn._xlws.FILTER('Standings Data'!$K$2:$K$49,'Standings Data'!$A$2:$A$49="K"),1),1,2),"")</f>
        <v>3</v>
      </c>
      <c r="Q31" s="16" cm="1">
        <f t="array" ref="Q31">IFERROR(INDEX(_xlfn.SORTBY(_xlfn._xlws.FILTER('Standings Data'!$B$2:$M$49,'Standings Data'!$A$2:$A$49="K"),_xlfn._xlws.FILTER('Standings Data'!$K$2:$K$49,'Standings Data'!$A$2:$A$49="K"),1),1,3),"")</f>
        <v>2</v>
      </c>
      <c r="R31" s="16" cm="1">
        <f t="array" ref="R31">IFERROR(INDEX(_xlfn.SORTBY(_xlfn._xlws.FILTER('Standings Data'!$B$2:$M$49,'Standings Data'!$A$2:$A$49="K"),_xlfn._xlws.FILTER('Standings Data'!$K$2:$K$49,'Standings Data'!$A$2:$A$49="K"),1),1,4),"")</f>
        <v>1</v>
      </c>
      <c r="S31" s="16" cm="1">
        <f t="array" ref="S31">IFERROR(INDEX(_xlfn.SORTBY(_xlfn._xlws.FILTER('Standings Data'!$B$2:$M$49,'Standings Data'!$A$2:$A$49="K"),_xlfn._xlws.FILTER('Standings Data'!$K$2:$K$49,'Standings Data'!$A$2:$A$49="K"),1),1,5),"")</f>
        <v>0</v>
      </c>
      <c r="T31" s="16" cm="1">
        <f t="array" ref="T31">IFERROR(INDEX(_xlfn.SORTBY(_xlfn._xlws.FILTER('Standings Data'!$B$2:$M$49,'Standings Data'!$A$2:$A$49="K"),_xlfn._xlws.FILTER('Standings Data'!$K$2:$K$49,'Standings Data'!$A$2:$A$49="K"),1),1,6),"")</f>
        <v>4</v>
      </c>
      <c r="U31" s="16" cm="1">
        <f t="array" ref="U31">IFERROR(INDEX(_xlfn.SORTBY(_xlfn._xlws.FILTER('Standings Data'!$B$2:$M$49,'Standings Data'!$A$2:$A$49="K"),_xlfn._xlws.FILTER('Standings Data'!$K$2:$K$49,'Standings Data'!$A$2:$A$49="K"),1),1,7),"")</f>
        <v>1</v>
      </c>
      <c r="V31" s="16" cm="1">
        <f t="array" ref="V31">IFERROR(INDEX(_xlfn.SORTBY(_xlfn._xlws.FILTER('Standings Data'!$B$2:$M$49,'Standings Data'!$A$2:$A$49="K"),_xlfn._xlws.FILTER('Standings Data'!$K$2:$K$49,'Standings Data'!$A$2:$A$49="K"),1),1,8),"")</f>
        <v>3</v>
      </c>
      <c r="W31" s="16" cm="1">
        <f t="array" ref="W31">IFERROR(INDEX(_xlfn.SORTBY(_xlfn._xlws.FILTER('Standings Data'!$B$2:$M$49,'Standings Data'!$A$2:$A$49="K"),_xlfn._xlws.FILTER('Standings Data'!$K$2:$K$49,'Standings Data'!$A$2:$A$49="K"),1),1,9),"")</f>
        <v>7</v>
      </c>
      <c r="X31" s="16" cm="1">
        <f t="array" ref="X31">IFERROR(INDEX(_xlfn.SORTBY(_xlfn._xlws.FILTER('Standings Data'!$B$2:$M$49,'Standings Data'!$A$2:$A$49="K"),_xlfn._xlws.FILTER('Standings Data'!$K$2:$K$49,'Standings Data'!$A$2:$A$49="K"),1),1,10),"")</f>
        <v>1</v>
      </c>
      <c r="Y31" s="17" t="str" cm="1">
        <f t="array" ref="Y31">IFERROR(INDEX(_xlfn.SORTBY(_xlfn._xlws.FILTER('Standings Data'!$B$2:$M$49,'Standings Data'!$A$2:$A$49="K"),_xlfn._xlws.FILTER('Standings Data'!$K$2:$K$49,'Standings Data'!$A$2:$A$49="K"),1),1,11),"")</f>
        <v>K1</v>
      </c>
      <c r="Z31" s="15" t="str" cm="1">
        <f t="array" ref="Z31">IFERROR(INDEX(_xlfn.SORTBY(_xlfn._xlws.FILTER('Standings Data'!$B$2:$M$49,'Standings Data'!$A$2:$A$49="K"),_xlfn._xlws.FILTER('Standings Data'!$K$2:$K$49,'Standings Data'!$A$2:$A$49="K"),1),1,12),"")</f>
        <v>Qualified</v>
      </c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35">
      <c r="A32" s="15" t="str" cm="1">
        <f t="array" ref="A32">IFERROR(INDEX(_xlfn.SORTBY(_xlfn._xlws.FILTER('Standings Data'!$B$2:$M$49,'Standings Data'!$A$2:$A$49="E"),_xlfn._xlws.FILTER('Standings Data'!$K$2:$K$49,'Standings Data'!$A$2:$A$49="E"),1),2,1),"")</f>
        <v>Côte d'Ivoire</v>
      </c>
      <c r="B32" s="16" cm="1">
        <f t="array" ref="B32">IFERROR(INDEX(_xlfn.SORTBY(_xlfn._xlws.FILTER('Standings Data'!$B$2:$M$49,'Standings Data'!$A$2:$A$49="E"),_xlfn._xlws.FILTER('Standings Data'!$K$2:$K$49,'Standings Data'!$A$2:$A$49="E"),1),2,2),"")</f>
        <v>3</v>
      </c>
      <c r="C32" s="16" cm="1">
        <f t="array" ref="C32">IFERROR(INDEX(_xlfn.SORTBY(_xlfn._xlws.FILTER('Standings Data'!$B$2:$M$49,'Standings Data'!$A$2:$A$49="E"),_xlfn._xlws.FILTER('Standings Data'!$K$2:$K$49,'Standings Data'!$A$2:$A$49="E"),1),2,3),"")</f>
        <v>2</v>
      </c>
      <c r="D32" s="16" cm="1">
        <f t="array" ref="D32">IFERROR(INDEX(_xlfn.SORTBY(_xlfn._xlws.FILTER('Standings Data'!$B$2:$M$49,'Standings Data'!$A$2:$A$49="E"),_xlfn._xlws.FILTER('Standings Data'!$K$2:$K$49,'Standings Data'!$A$2:$A$49="E"),1),2,4),"")</f>
        <v>0</v>
      </c>
      <c r="E32" s="16" cm="1">
        <f t="array" ref="E32">IFERROR(INDEX(_xlfn.SORTBY(_xlfn._xlws.FILTER('Standings Data'!$B$2:$M$49,'Standings Data'!$A$2:$A$49="E"),_xlfn._xlws.FILTER('Standings Data'!$K$2:$K$49,'Standings Data'!$A$2:$A$49="E"),1),2,5),"")</f>
        <v>1</v>
      </c>
      <c r="F32" s="16" cm="1">
        <f t="array" ref="F32">IFERROR(INDEX(_xlfn.SORTBY(_xlfn._xlws.FILTER('Standings Data'!$B$2:$M$49,'Standings Data'!$A$2:$A$49="E"),_xlfn._xlws.FILTER('Standings Data'!$K$2:$K$49,'Standings Data'!$A$2:$A$49="E"),1),2,6),"")</f>
        <v>4</v>
      </c>
      <c r="G32" s="16" cm="1">
        <f t="array" ref="G32">IFERROR(INDEX(_xlfn.SORTBY(_xlfn._xlws.FILTER('Standings Data'!$B$2:$M$49,'Standings Data'!$A$2:$A$49="E"),_xlfn._xlws.FILTER('Standings Data'!$K$2:$K$49,'Standings Data'!$A$2:$A$49="E"),1),2,7),"")</f>
        <v>2</v>
      </c>
      <c r="H32" s="16" cm="1">
        <f t="array" ref="H32">IFERROR(INDEX(_xlfn.SORTBY(_xlfn._xlws.FILTER('Standings Data'!$B$2:$M$49,'Standings Data'!$A$2:$A$49="E"),_xlfn._xlws.FILTER('Standings Data'!$K$2:$K$49,'Standings Data'!$A$2:$A$49="E"),1),2,8),"")</f>
        <v>2</v>
      </c>
      <c r="I32" s="16" cm="1">
        <f t="array" ref="I32">IFERROR(INDEX(_xlfn.SORTBY(_xlfn._xlws.FILTER('Standings Data'!$B$2:$M$49,'Standings Data'!$A$2:$A$49="E"),_xlfn._xlws.FILTER('Standings Data'!$K$2:$K$49,'Standings Data'!$A$2:$A$49="E"),1),2,9),"")</f>
        <v>6</v>
      </c>
      <c r="J32" s="16" cm="1">
        <f t="array" ref="J32">IFERROR(INDEX(_xlfn.SORTBY(_xlfn._xlws.FILTER('Standings Data'!$B$2:$M$49,'Standings Data'!$A$2:$A$49="E"),_xlfn._xlws.FILTER('Standings Data'!$K$2:$K$49,'Standings Data'!$A$2:$A$49="E"),1),2,10),"")</f>
        <v>2</v>
      </c>
      <c r="K32" s="17" t="str" cm="1">
        <f t="array" ref="K32">IFERROR(INDEX(_xlfn.SORTBY(_xlfn._xlws.FILTER('Standings Data'!$B$2:$M$49,'Standings Data'!$A$2:$A$49="E"),_xlfn._xlws.FILTER('Standings Data'!$K$2:$K$49,'Standings Data'!$A$2:$A$49="E"),1),2,11),"")</f>
        <v>E2</v>
      </c>
      <c r="L32" s="15" t="str" cm="1">
        <f t="array" ref="L32">IFERROR(INDEX(_xlfn.SORTBY(_xlfn._xlws.FILTER('Standings Data'!$B$2:$M$49,'Standings Data'!$A$2:$A$49="E"),_xlfn._xlws.FILTER('Standings Data'!$K$2:$K$49,'Standings Data'!$A$2:$A$49="E"),1),2,12),"")</f>
        <v>Qualified</v>
      </c>
      <c r="M32" s="1"/>
      <c r="N32" s="1"/>
      <c r="O32" s="15" t="str" cm="1">
        <f t="array" ref="O32">IFERROR(INDEX(_xlfn.SORTBY(_xlfn._xlws.FILTER('Standings Data'!$B$2:$M$49,'Standings Data'!$A$2:$A$49="K"),_xlfn._xlws.FILTER('Standings Data'!$K$2:$K$49,'Standings Data'!$A$2:$A$49="K"),1),2,1),"")</f>
        <v>Portugal</v>
      </c>
      <c r="P32" s="16" cm="1">
        <f t="array" ref="P32">IFERROR(INDEX(_xlfn.SORTBY(_xlfn._xlws.FILTER('Standings Data'!$B$2:$M$49,'Standings Data'!$A$2:$A$49="K"),_xlfn._xlws.FILTER('Standings Data'!$K$2:$K$49,'Standings Data'!$A$2:$A$49="K"),1),2,2),"")</f>
        <v>3</v>
      </c>
      <c r="Q32" s="16" cm="1">
        <f t="array" ref="Q32">IFERROR(INDEX(_xlfn.SORTBY(_xlfn._xlws.FILTER('Standings Data'!$B$2:$M$49,'Standings Data'!$A$2:$A$49="K"),_xlfn._xlws.FILTER('Standings Data'!$K$2:$K$49,'Standings Data'!$A$2:$A$49="K"),1),2,3),"")</f>
        <v>1</v>
      </c>
      <c r="R32" s="16" cm="1">
        <f t="array" ref="R32">IFERROR(INDEX(_xlfn.SORTBY(_xlfn._xlws.FILTER('Standings Data'!$B$2:$M$49,'Standings Data'!$A$2:$A$49="K"),_xlfn._xlws.FILTER('Standings Data'!$K$2:$K$49,'Standings Data'!$A$2:$A$49="K"),1),2,4),"")</f>
        <v>2</v>
      </c>
      <c r="S32" s="16" cm="1">
        <f t="array" ref="S32">IFERROR(INDEX(_xlfn.SORTBY(_xlfn._xlws.FILTER('Standings Data'!$B$2:$M$49,'Standings Data'!$A$2:$A$49="K"),_xlfn._xlws.FILTER('Standings Data'!$K$2:$K$49,'Standings Data'!$A$2:$A$49="K"),1),2,5),"")</f>
        <v>0</v>
      </c>
      <c r="T32" s="16" cm="1">
        <f t="array" ref="T32">IFERROR(INDEX(_xlfn.SORTBY(_xlfn._xlws.FILTER('Standings Data'!$B$2:$M$49,'Standings Data'!$A$2:$A$49="K"),_xlfn._xlws.FILTER('Standings Data'!$K$2:$K$49,'Standings Data'!$A$2:$A$49="K"),1),2,6),"")</f>
        <v>6</v>
      </c>
      <c r="U32" s="16" cm="1">
        <f t="array" ref="U32">IFERROR(INDEX(_xlfn.SORTBY(_xlfn._xlws.FILTER('Standings Data'!$B$2:$M$49,'Standings Data'!$A$2:$A$49="K"),_xlfn._xlws.FILTER('Standings Data'!$K$2:$K$49,'Standings Data'!$A$2:$A$49="K"),1),2,7),"")</f>
        <v>1</v>
      </c>
      <c r="V32" s="16" cm="1">
        <f t="array" ref="V32">IFERROR(INDEX(_xlfn.SORTBY(_xlfn._xlws.FILTER('Standings Data'!$B$2:$M$49,'Standings Data'!$A$2:$A$49="K"),_xlfn._xlws.FILTER('Standings Data'!$K$2:$K$49,'Standings Data'!$A$2:$A$49="K"),1),2,8),"")</f>
        <v>5</v>
      </c>
      <c r="W32" s="16" cm="1">
        <f t="array" ref="W32">IFERROR(INDEX(_xlfn.SORTBY(_xlfn._xlws.FILTER('Standings Data'!$B$2:$M$49,'Standings Data'!$A$2:$A$49="K"),_xlfn._xlws.FILTER('Standings Data'!$K$2:$K$49,'Standings Data'!$A$2:$A$49="K"),1),2,9),"")</f>
        <v>5</v>
      </c>
      <c r="X32" s="16" cm="1">
        <f t="array" ref="X32">IFERROR(INDEX(_xlfn.SORTBY(_xlfn._xlws.FILTER('Standings Data'!$B$2:$M$49,'Standings Data'!$A$2:$A$49="K"),_xlfn._xlws.FILTER('Standings Data'!$K$2:$K$49,'Standings Data'!$A$2:$A$49="K"),1),2,10),"")</f>
        <v>2</v>
      </c>
      <c r="Y32" s="17" t="str" cm="1">
        <f t="array" ref="Y32">IFERROR(INDEX(_xlfn.SORTBY(_xlfn._xlws.FILTER('Standings Data'!$B$2:$M$49,'Standings Data'!$A$2:$A$49="K"),_xlfn._xlws.FILTER('Standings Data'!$K$2:$K$49,'Standings Data'!$A$2:$A$49="K"),1),2,11),"")</f>
        <v>K2</v>
      </c>
      <c r="Z32" s="15" t="str" cm="1">
        <f t="array" ref="Z32">IFERROR(INDEX(_xlfn.SORTBY(_xlfn._xlws.FILTER('Standings Data'!$B$2:$M$49,'Standings Data'!$A$2:$A$49="K"),_xlfn._xlws.FILTER('Standings Data'!$K$2:$K$49,'Standings Data'!$A$2:$A$49="K"),1),2,12),"")</f>
        <v>Qualified</v>
      </c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35">
      <c r="A33" s="15" t="str" cm="1">
        <f t="array" ref="A33">IFERROR(INDEX(_xlfn.SORTBY(_xlfn._xlws.FILTER('Standings Data'!$B$2:$M$49,'Standings Data'!$A$2:$A$49="E"),_xlfn._xlws.FILTER('Standings Data'!$K$2:$K$49,'Standings Data'!$A$2:$A$49="E"),1),3,1),"")</f>
        <v>Ecuador</v>
      </c>
      <c r="B33" s="16" cm="1">
        <f t="array" ref="B33">IFERROR(INDEX(_xlfn.SORTBY(_xlfn._xlws.FILTER('Standings Data'!$B$2:$M$49,'Standings Data'!$A$2:$A$49="E"),_xlfn._xlws.FILTER('Standings Data'!$K$2:$K$49,'Standings Data'!$A$2:$A$49="E"),1),3,2),"")</f>
        <v>3</v>
      </c>
      <c r="C33" s="16" cm="1">
        <f t="array" ref="C33">IFERROR(INDEX(_xlfn.SORTBY(_xlfn._xlws.FILTER('Standings Data'!$B$2:$M$49,'Standings Data'!$A$2:$A$49="E"),_xlfn._xlws.FILTER('Standings Data'!$K$2:$K$49,'Standings Data'!$A$2:$A$49="E"),1),3,3),"")</f>
        <v>1</v>
      </c>
      <c r="D33" s="16" cm="1">
        <f t="array" ref="D33">IFERROR(INDEX(_xlfn.SORTBY(_xlfn._xlws.FILTER('Standings Data'!$B$2:$M$49,'Standings Data'!$A$2:$A$49="E"),_xlfn._xlws.FILTER('Standings Data'!$K$2:$K$49,'Standings Data'!$A$2:$A$49="E"),1),3,4),"")</f>
        <v>1</v>
      </c>
      <c r="E33" s="16" cm="1">
        <f t="array" ref="E33">IFERROR(INDEX(_xlfn.SORTBY(_xlfn._xlws.FILTER('Standings Data'!$B$2:$M$49,'Standings Data'!$A$2:$A$49="E"),_xlfn._xlws.FILTER('Standings Data'!$K$2:$K$49,'Standings Data'!$A$2:$A$49="E"),1),3,5),"")</f>
        <v>1</v>
      </c>
      <c r="F33" s="16" cm="1">
        <f t="array" ref="F33">IFERROR(INDEX(_xlfn.SORTBY(_xlfn._xlws.FILTER('Standings Data'!$B$2:$M$49,'Standings Data'!$A$2:$A$49="E"),_xlfn._xlws.FILTER('Standings Data'!$K$2:$K$49,'Standings Data'!$A$2:$A$49="E"),1),3,6),"")</f>
        <v>2</v>
      </c>
      <c r="G33" s="16" cm="1">
        <f t="array" ref="G33">IFERROR(INDEX(_xlfn.SORTBY(_xlfn._xlws.FILTER('Standings Data'!$B$2:$M$49,'Standings Data'!$A$2:$A$49="E"),_xlfn._xlws.FILTER('Standings Data'!$K$2:$K$49,'Standings Data'!$A$2:$A$49="E"),1),3,7),"")</f>
        <v>2</v>
      </c>
      <c r="H33" s="16" cm="1">
        <f t="array" ref="H33">IFERROR(INDEX(_xlfn.SORTBY(_xlfn._xlws.FILTER('Standings Data'!$B$2:$M$49,'Standings Data'!$A$2:$A$49="E"),_xlfn._xlws.FILTER('Standings Data'!$K$2:$K$49,'Standings Data'!$A$2:$A$49="E"),1),3,8),"")</f>
        <v>0</v>
      </c>
      <c r="I33" s="16" cm="1">
        <f t="array" ref="I33">IFERROR(INDEX(_xlfn.SORTBY(_xlfn._xlws.FILTER('Standings Data'!$B$2:$M$49,'Standings Data'!$A$2:$A$49="E"),_xlfn._xlws.FILTER('Standings Data'!$K$2:$K$49,'Standings Data'!$A$2:$A$49="E"),1),3,9),"")</f>
        <v>4</v>
      </c>
      <c r="J33" s="16" cm="1">
        <f t="array" ref="J33">IFERROR(INDEX(_xlfn.SORTBY(_xlfn._xlws.FILTER('Standings Data'!$B$2:$M$49,'Standings Data'!$A$2:$A$49="E"),_xlfn._xlws.FILTER('Standings Data'!$K$2:$K$49,'Standings Data'!$A$2:$A$49="E"),1),3,10),"")</f>
        <v>3</v>
      </c>
      <c r="K33" s="17" t="str" cm="1">
        <f t="array" ref="K33">IFERROR(INDEX(_xlfn.SORTBY(_xlfn._xlws.FILTER('Standings Data'!$B$2:$M$49,'Standings Data'!$A$2:$A$49="E"),_xlfn._xlws.FILTER('Standings Data'!$K$2:$K$49,'Standings Data'!$A$2:$A$49="E"),1),3,11),"")</f>
        <v>E3</v>
      </c>
      <c r="L33" s="15" t="str" cm="1">
        <f t="array" ref="L33">IFERROR(INDEX(_xlfn.SORTBY(_xlfn._xlws.FILTER('Standings Data'!$B$2:$M$49,'Standings Data'!$A$2:$A$49="E"),_xlfn._xlws.FILTER('Standings Data'!$K$2:$K$49,'Standings Data'!$A$2:$A$49="E"),1),3,12),"")</f>
        <v>Third-place pool</v>
      </c>
      <c r="M33" s="1"/>
      <c r="N33" s="1"/>
      <c r="O33" s="15" t="str" cm="1">
        <f t="array" ref="O33">IFERROR(INDEX(_xlfn.SORTBY(_xlfn._xlws.FILTER('Standings Data'!$B$2:$M$49,'Standings Data'!$A$2:$A$49="K"),_xlfn._xlws.FILTER('Standings Data'!$K$2:$K$49,'Standings Data'!$A$2:$A$49="K"),1),3,1),"")</f>
        <v>Congo DR</v>
      </c>
      <c r="P33" s="16" cm="1">
        <f t="array" ref="P33">IFERROR(INDEX(_xlfn.SORTBY(_xlfn._xlws.FILTER('Standings Data'!$B$2:$M$49,'Standings Data'!$A$2:$A$49="K"),_xlfn._xlws.FILTER('Standings Data'!$K$2:$K$49,'Standings Data'!$A$2:$A$49="K"),1),3,2),"")</f>
        <v>3</v>
      </c>
      <c r="Q33" s="16" cm="1">
        <f t="array" ref="Q33">IFERROR(INDEX(_xlfn.SORTBY(_xlfn._xlws.FILTER('Standings Data'!$B$2:$M$49,'Standings Data'!$A$2:$A$49="K"),_xlfn._xlws.FILTER('Standings Data'!$K$2:$K$49,'Standings Data'!$A$2:$A$49="K"),1),3,3),"")</f>
        <v>1</v>
      </c>
      <c r="R33" s="16" cm="1">
        <f t="array" ref="R33">IFERROR(INDEX(_xlfn.SORTBY(_xlfn._xlws.FILTER('Standings Data'!$B$2:$M$49,'Standings Data'!$A$2:$A$49="K"),_xlfn._xlws.FILTER('Standings Data'!$K$2:$K$49,'Standings Data'!$A$2:$A$49="K"),1),3,4),"")</f>
        <v>1</v>
      </c>
      <c r="S33" s="16" cm="1">
        <f t="array" ref="S33">IFERROR(INDEX(_xlfn.SORTBY(_xlfn._xlws.FILTER('Standings Data'!$B$2:$M$49,'Standings Data'!$A$2:$A$49="K"),_xlfn._xlws.FILTER('Standings Data'!$K$2:$K$49,'Standings Data'!$A$2:$A$49="K"),1),3,5),"")</f>
        <v>1</v>
      </c>
      <c r="T33" s="16" cm="1">
        <f t="array" ref="T33">IFERROR(INDEX(_xlfn.SORTBY(_xlfn._xlws.FILTER('Standings Data'!$B$2:$M$49,'Standings Data'!$A$2:$A$49="K"),_xlfn._xlws.FILTER('Standings Data'!$K$2:$K$49,'Standings Data'!$A$2:$A$49="K"),1),3,6),"")</f>
        <v>4</v>
      </c>
      <c r="U33" s="16" cm="1">
        <f t="array" ref="U33">IFERROR(INDEX(_xlfn.SORTBY(_xlfn._xlws.FILTER('Standings Data'!$B$2:$M$49,'Standings Data'!$A$2:$A$49="K"),_xlfn._xlws.FILTER('Standings Data'!$K$2:$K$49,'Standings Data'!$A$2:$A$49="K"),1),3,7),"")</f>
        <v>3</v>
      </c>
      <c r="V33" s="16" cm="1">
        <f t="array" ref="V33">IFERROR(INDEX(_xlfn.SORTBY(_xlfn._xlws.FILTER('Standings Data'!$B$2:$M$49,'Standings Data'!$A$2:$A$49="K"),_xlfn._xlws.FILTER('Standings Data'!$K$2:$K$49,'Standings Data'!$A$2:$A$49="K"),1),3,8),"")</f>
        <v>1</v>
      </c>
      <c r="W33" s="16" cm="1">
        <f t="array" ref="W33">IFERROR(INDEX(_xlfn.SORTBY(_xlfn._xlws.FILTER('Standings Data'!$B$2:$M$49,'Standings Data'!$A$2:$A$49="K"),_xlfn._xlws.FILTER('Standings Data'!$K$2:$K$49,'Standings Data'!$A$2:$A$49="K"),1),3,9),"")</f>
        <v>4</v>
      </c>
      <c r="X33" s="16" cm="1">
        <f t="array" ref="X33">IFERROR(INDEX(_xlfn.SORTBY(_xlfn._xlws.FILTER('Standings Data'!$B$2:$M$49,'Standings Data'!$A$2:$A$49="K"),_xlfn._xlws.FILTER('Standings Data'!$K$2:$K$49,'Standings Data'!$A$2:$A$49="K"),1),3,10),"")</f>
        <v>3</v>
      </c>
      <c r="Y33" s="17" t="str" cm="1">
        <f t="array" ref="Y33">IFERROR(INDEX(_xlfn.SORTBY(_xlfn._xlws.FILTER('Standings Data'!$B$2:$M$49,'Standings Data'!$A$2:$A$49="K"),_xlfn._xlws.FILTER('Standings Data'!$K$2:$K$49,'Standings Data'!$A$2:$A$49="K"),1),3,11),"")</f>
        <v>K3</v>
      </c>
      <c r="Z33" s="15" t="str" cm="1">
        <f t="array" ref="Z33">IFERROR(INDEX(_xlfn.SORTBY(_xlfn._xlws.FILTER('Standings Data'!$B$2:$M$49,'Standings Data'!$A$2:$A$49="K"),_xlfn._xlws.FILTER('Standings Data'!$K$2:$K$49,'Standings Data'!$A$2:$A$49="K"),1),3,12),"")</f>
        <v>Third-place pool</v>
      </c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35">
      <c r="A34" s="15" t="str" cm="1">
        <f t="array" ref="A34">IFERROR(INDEX(_xlfn.SORTBY(_xlfn._xlws.FILTER('Standings Data'!$B$2:$M$49,'Standings Data'!$A$2:$A$49="E"),_xlfn._xlws.FILTER('Standings Data'!$K$2:$K$49,'Standings Data'!$A$2:$A$49="E"),1),4,1),"")</f>
        <v>Curaçao</v>
      </c>
      <c r="B34" s="16" cm="1">
        <f t="array" ref="B34">IFERROR(INDEX(_xlfn.SORTBY(_xlfn._xlws.FILTER('Standings Data'!$B$2:$M$49,'Standings Data'!$A$2:$A$49="E"),_xlfn._xlws.FILTER('Standings Data'!$K$2:$K$49,'Standings Data'!$A$2:$A$49="E"),1),4,2),"")</f>
        <v>3</v>
      </c>
      <c r="C34" s="16" cm="1">
        <f t="array" ref="C34">IFERROR(INDEX(_xlfn.SORTBY(_xlfn._xlws.FILTER('Standings Data'!$B$2:$M$49,'Standings Data'!$A$2:$A$49="E"),_xlfn._xlws.FILTER('Standings Data'!$K$2:$K$49,'Standings Data'!$A$2:$A$49="E"),1),4,3),"")</f>
        <v>0</v>
      </c>
      <c r="D34" s="16" cm="1">
        <f t="array" ref="D34">IFERROR(INDEX(_xlfn.SORTBY(_xlfn._xlws.FILTER('Standings Data'!$B$2:$M$49,'Standings Data'!$A$2:$A$49="E"),_xlfn._xlws.FILTER('Standings Data'!$K$2:$K$49,'Standings Data'!$A$2:$A$49="E"),1),4,4),"")</f>
        <v>1</v>
      </c>
      <c r="E34" s="16" cm="1">
        <f t="array" ref="E34">IFERROR(INDEX(_xlfn.SORTBY(_xlfn._xlws.FILTER('Standings Data'!$B$2:$M$49,'Standings Data'!$A$2:$A$49="E"),_xlfn._xlws.FILTER('Standings Data'!$K$2:$K$49,'Standings Data'!$A$2:$A$49="E"),1),4,5),"")</f>
        <v>2</v>
      </c>
      <c r="F34" s="16" cm="1">
        <f t="array" ref="F34">IFERROR(INDEX(_xlfn.SORTBY(_xlfn._xlws.FILTER('Standings Data'!$B$2:$M$49,'Standings Data'!$A$2:$A$49="E"),_xlfn._xlws.FILTER('Standings Data'!$K$2:$K$49,'Standings Data'!$A$2:$A$49="E"),1),4,6),"")</f>
        <v>1</v>
      </c>
      <c r="G34" s="16" cm="1">
        <f t="array" ref="G34">IFERROR(INDEX(_xlfn.SORTBY(_xlfn._xlws.FILTER('Standings Data'!$B$2:$M$49,'Standings Data'!$A$2:$A$49="E"),_xlfn._xlws.FILTER('Standings Data'!$K$2:$K$49,'Standings Data'!$A$2:$A$49="E"),1),4,7),"")</f>
        <v>9</v>
      </c>
      <c r="H34" s="16" cm="1">
        <f t="array" ref="H34">IFERROR(INDEX(_xlfn.SORTBY(_xlfn._xlws.FILTER('Standings Data'!$B$2:$M$49,'Standings Data'!$A$2:$A$49="E"),_xlfn._xlws.FILTER('Standings Data'!$K$2:$K$49,'Standings Data'!$A$2:$A$49="E"),1),4,8),"")</f>
        <v>-8</v>
      </c>
      <c r="I34" s="16" cm="1">
        <f t="array" ref="I34">IFERROR(INDEX(_xlfn.SORTBY(_xlfn._xlws.FILTER('Standings Data'!$B$2:$M$49,'Standings Data'!$A$2:$A$49="E"),_xlfn._xlws.FILTER('Standings Data'!$K$2:$K$49,'Standings Data'!$A$2:$A$49="E"),1),4,9),"")</f>
        <v>1</v>
      </c>
      <c r="J34" s="16" cm="1">
        <f t="array" ref="J34">IFERROR(INDEX(_xlfn.SORTBY(_xlfn._xlws.FILTER('Standings Data'!$B$2:$M$49,'Standings Data'!$A$2:$A$49="E"),_xlfn._xlws.FILTER('Standings Data'!$K$2:$K$49,'Standings Data'!$A$2:$A$49="E"),1),4,10),"")</f>
        <v>4</v>
      </c>
      <c r="K34" s="17" t="str" cm="1">
        <f t="array" ref="K34">IFERROR(INDEX(_xlfn.SORTBY(_xlfn._xlws.FILTER('Standings Data'!$B$2:$M$49,'Standings Data'!$A$2:$A$49="E"),_xlfn._xlws.FILTER('Standings Data'!$K$2:$K$49,'Standings Data'!$A$2:$A$49="E"),1),4,11),"")</f>
        <v>E4</v>
      </c>
      <c r="L34" s="15" t="str" cm="1">
        <f t="array" ref="L34">IFERROR(INDEX(_xlfn.SORTBY(_xlfn._xlws.FILTER('Standings Data'!$B$2:$M$49,'Standings Data'!$A$2:$A$49="E"),_xlfn._xlws.FILTER('Standings Data'!$K$2:$K$49,'Standings Data'!$A$2:$A$49="E"),1),4,12),"")</f>
        <v/>
      </c>
      <c r="M34" s="1"/>
      <c r="N34" s="1"/>
      <c r="O34" s="15" t="str" cm="1">
        <f t="array" ref="O34">IFERROR(INDEX(_xlfn.SORTBY(_xlfn._xlws.FILTER('Standings Data'!$B$2:$M$49,'Standings Data'!$A$2:$A$49="K"),_xlfn._xlws.FILTER('Standings Data'!$K$2:$K$49,'Standings Data'!$A$2:$A$49="K"),1),4,1),"")</f>
        <v>Uzbekistan</v>
      </c>
      <c r="P34" s="16" cm="1">
        <f t="array" ref="P34">IFERROR(INDEX(_xlfn.SORTBY(_xlfn._xlws.FILTER('Standings Data'!$B$2:$M$49,'Standings Data'!$A$2:$A$49="K"),_xlfn._xlws.FILTER('Standings Data'!$K$2:$K$49,'Standings Data'!$A$2:$A$49="K"),1),4,2),"")</f>
        <v>3</v>
      </c>
      <c r="Q34" s="16" cm="1">
        <f t="array" ref="Q34">IFERROR(INDEX(_xlfn.SORTBY(_xlfn._xlws.FILTER('Standings Data'!$B$2:$M$49,'Standings Data'!$A$2:$A$49="K"),_xlfn._xlws.FILTER('Standings Data'!$K$2:$K$49,'Standings Data'!$A$2:$A$49="K"),1),4,3),"")</f>
        <v>0</v>
      </c>
      <c r="R34" s="16" cm="1">
        <f t="array" ref="R34">IFERROR(INDEX(_xlfn.SORTBY(_xlfn._xlws.FILTER('Standings Data'!$B$2:$M$49,'Standings Data'!$A$2:$A$49="K"),_xlfn._xlws.FILTER('Standings Data'!$K$2:$K$49,'Standings Data'!$A$2:$A$49="K"),1),4,4),"")</f>
        <v>0</v>
      </c>
      <c r="S34" s="16" cm="1">
        <f t="array" ref="S34">IFERROR(INDEX(_xlfn.SORTBY(_xlfn._xlws.FILTER('Standings Data'!$B$2:$M$49,'Standings Data'!$A$2:$A$49="K"),_xlfn._xlws.FILTER('Standings Data'!$K$2:$K$49,'Standings Data'!$A$2:$A$49="K"),1),4,5),"")</f>
        <v>3</v>
      </c>
      <c r="T34" s="16" cm="1">
        <f t="array" ref="T34">IFERROR(INDEX(_xlfn.SORTBY(_xlfn._xlws.FILTER('Standings Data'!$B$2:$M$49,'Standings Data'!$A$2:$A$49="K"),_xlfn._xlws.FILTER('Standings Data'!$K$2:$K$49,'Standings Data'!$A$2:$A$49="K"),1),4,6),"")</f>
        <v>2</v>
      </c>
      <c r="U34" s="16" cm="1">
        <f t="array" ref="U34">IFERROR(INDEX(_xlfn.SORTBY(_xlfn._xlws.FILTER('Standings Data'!$B$2:$M$49,'Standings Data'!$A$2:$A$49="K"),_xlfn._xlws.FILTER('Standings Data'!$K$2:$K$49,'Standings Data'!$A$2:$A$49="K"),1),4,7),"")</f>
        <v>11</v>
      </c>
      <c r="V34" s="16" cm="1">
        <f t="array" ref="V34">IFERROR(INDEX(_xlfn.SORTBY(_xlfn._xlws.FILTER('Standings Data'!$B$2:$M$49,'Standings Data'!$A$2:$A$49="K"),_xlfn._xlws.FILTER('Standings Data'!$K$2:$K$49,'Standings Data'!$A$2:$A$49="K"),1),4,8),"")</f>
        <v>-9</v>
      </c>
      <c r="W34" s="16" cm="1">
        <f t="array" ref="W34">IFERROR(INDEX(_xlfn.SORTBY(_xlfn._xlws.FILTER('Standings Data'!$B$2:$M$49,'Standings Data'!$A$2:$A$49="K"),_xlfn._xlws.FILTER('Standings Data'!$K$2:$K$49,'Standings Data'!$A$2:$A$49="K"),1),4,9),"")</f>
        <v>0</v>
      </c>
      <c r="X34" s="16" cm="1">
        <f t="array" ref="X34">IFERROR(INDEX(_xlfn.SORTBY(_xlfn._xlws.FILTER('Standings Data'!$B$2:$M$49,'Standings Data'!$A$2:$A$49="K"),_xlfn._xlws.FILTER('Standings Data'!$K$2:$K$49,'Standings Data'!$A$2:$A$49="K"),1),4,10),"")</f>
        <v>4</v>
      </c>
      <c r="Y34" s="17" t="str" cm="1">
        <f t="array" ref="Y34">IFERROR(INDEX(_xlfn.SORTBY(_xlfn._xlws.FILTER('Standings Data'!$B$2:$M$49,'Standings Data'!$A$2:$A$49="K"),_xlfn._xlws.FILTER('Standings Data'!$K$2:$K$49,'Standings Data'!$A$2:$A$49="K"),1),4,11),"")</f>
        <v>K4</v>
      </c>
      <c r="Z34" s="15" t="str" cm="1">
        <f t="array" ref="Z34">IFERROR(INDEX(_xlfn.SORTBY(_xlfn._xlws.FILTER('Standings Data'!$B$2:$M$49,'Standings Data'!$A$2:$A$49="K"),_xlfn._xlws.FILTER('Standings Data'!$K$2:$K$49,'Standings Data'!$A$2:$A$49="K"),1),4,12),"")</f>
        <v/>
      </c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35">
      <c r="A36" s="49" t="s">
        <v>213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1"/>
      <c r="N36" s="1"/>
      <c r="O36" s="49" t="s">
        <v>219</v>
      </c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35">
      <c r="A37" s="14" t="s">
        <v>13</v>
      </c>
      <c r="B37" s="14" t="s">
        <v>102</v>
      </c>
      <c r="C37" s="14" t="s">
        <v>103</v>
      </c>
      <c r="D37" s="14" t="s">
        <v>29</v>
      </c>
      <c r="E37" s="14" t="s">
        <v>69</v>
      </c>
      <c r="F37" s="14" t="s">
        <v>104</v>
      </c>
      <c r="G37" s="14" t="s">
        <v>105</v>
      </c>
      <c r="H37" s="14" t="s">
        <v>106</v>
      </c>
      <c r="I37" s="14" t="s">
        <v>107</v>
      </c>
      <c r="J37" s="14" t="s">
        <v>108</v>
      </c>
      <c r="K37" s="14" t="s">
        <v>109</v>
      </c>
      <c r="L37" s="14" t="s">
        <v>110</v>
      </c>
      <c r="M37" s="1"/>
      <c r="N37" s="1"/>
      <c r="O37" s="14" t="s">
        <v>13</v>
      </c>
      <c r="P37" s="14" t="s">
        <v>102</v>
      </c>
      <c r="Q37" s="14" t="s">
        <v>103</v>
      </c>
      <c r="R37" s="14" t="s">
        <v>29</v>
      </c>
      <c r="S37" s="14" t="s">
        <v>69</v>
      </c>
      <c r="T37" s="14" t="s">
        <v>104</v>
      </c>
      <c r="U37" s="14" t="s">
        <v>105</v>
      </c>
      <c r="V37" s="14" t="s">
        <v>106</v>
      </c>
      <c r="W37" s="14" t="s">
        <v>107</v>
      </c>
      <c r="X37" s="14" t="s">
        <v>108</v>
      </c>
      <c r="Y37" s="14" t="s">
        <v>109</v>
      </c>
      <c r="Z37" s="14" t="s">
        <v>110</v>
      </c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35">
      <c r="A38" s="15" t="str" cm="1">
        <f t="array" ref="A38">IFERROR(INDEX(_xlfn.SORTBY(_xlfn._xlws.FILTER('Standings Data'!$B$2:$M$49,'Standings Data'!$A$2:$A$49="F"),_xlfn._xlws.FILTER('Standings Data'!$K$2:$K$49,'Standings Data'!$A$2:$A$49="F"),1),1,1),"")</f>
        <v>Netherlands</v>
      </c>
      <c r="B38" s="16" cm="1">
        <f t="array" ref="B38">IFERROR(INDEX(_xlfn.SORTBY(_xlfn._xlws.FILTER('Standings Data'!$B$2:$M$49,'Standings Data'!$A$2:$A$49="F"),_xlfn._xlws.FILTER('Standings Data'!$K$2:$K$49,'Standings Data'!$A$2:$A$49="F"),1),1,2),"")</f>
        <v>3</v>
      </c>
      <c r="C38" s="16" cm="1">
        <f t="array" ref="C38">IFERROR(INDEX(_xlfn.SORTBY(_xlfn._xlws.FILTER('Standings Data'!$B$2:$M$49,'Standings Data'!$A$2:$A$49="F"),_xlfn._xlws.FILTER('Standings Data'!$K$2:$K$49,'Standings Data'!$A$2:$A$49="F"),1),1,3),"")</f>
        <v>2</v>
      </c>
      <c r="D38" s="16" cm="1">
        <f t="array" ref="D38">IFERROR(INDEX(_xlfn.SORTBY(_xlfn._xlws.FILTER('Standings Data'!$B$2:$M$49,'Standings Data'!$A$2:$A$49="F"),_xlfn._xlws.FILTER('Standings Data'!$K$2:$K$49,'Standings Data'!$A$2:$A$49="F"),1),1,4),"")</f>
        <v>1</v>
      </c>
      <c r="E38" s="16" cm="1">
        <f t="array" ref="E38">IFERROR(INDEX(_xlfn.SORTBY(_xlfn._xlws.FILTER('Standings Data'!$B$2:$M$49,'Standings Data'!$A$2:$A$49="F"),_xlfn._xlws.FILTER('Standings Data'!$K$2:$K$49,'Standings Data'!$A$2:$A$49="F"),1),1,5),"")</f>
        <v>0</v>
      </c>
      <c r="F38" s="16" cm="1">
        <f t="array" ref="F38">IFERROR(INDEX(_xlfn.SORTBY(_xlfn._xlws.FILTER('Standings Data'!$B$2:$M$49,'Standings Data'!$A$2:$A$49="F"),_xlfn._xlws.FILTER('Standings Data'!$K$2:$K$49,'Standings Data'!$A$2:$A$49="F"),1),1,6),"")</f>
        <v>10</v>
      </c>
      <c r="G38" s="16" cm="1">
        <f t="array" ref="G38">IFERROR(INDEX(_xlfn.SORTBY(_xlfn._xlws.FILTER('Standings Data'!$B$2:$M$49,'Standings Data'!$A$2:$A$49="F"),_xlfn._xlws.FILTER('Standings Data'!$K$2:$K$49,'Standings Data'!$A$2:$A$49="F"),1),1,7),"")</f>
        <v>4</v>
      </c>
      <c r="H38" s="16" cm="1">
        <f t="array" ref="H38">IFERROR(INDEX(_xlfn.SORTBY(_xlfn._xlws.FILTER('Standings Data'!$B$2:$M$49,'Standings Data'!$A$2:$A$49="F"),_xlfn._xlws.FILTER('Standings Data'!$K$2:$K$49,'Standings Data'!$A$2:$A$49="F"),1),1,8),"")</f>
        <v>6</v>
      </c>
      <c r="I38" s="16" cm="1">
        <f t="array" ref="I38">IFERROR(INDEX(_xlfn.SORTBY(_xlfn._xlws.FILTER('Standings Data'!$B$2:$M$49,'Standings Data'!$A$2:$A$49="F"),_xlfn._xlws.FILTER('Standings Data'!$K$2:$K$49,'Standings Data'!$A$2:$A$49="F"),1),1,9),"")</f>
        <v>7</v>
      </c>
      <c r="J38" s="16" cm="1">
        <f t="array" ref="J38">IFERROR(INDEX(_xlfn.SORTBY(_xlfn._xlws.FILTER('Standings Data'!$B$2:$M$49,'Standings Data'!$A$2:$A$49="F"),_xlfn._xlws.FILTER('Standings Data'!$K$2:$K$49,'Standings Data'!$A$2:$A$49="F"),1),1,10),"")</f>
        <v>1</v>
      </c>
      <c r="K38" s="17" t="str" cm="1">
        <f t="array" ref="K38">IFERROR(INDEX(_xlfn.SORTBY(_xlfn._xlws.FILTER('Standings Data'!$B$2:$M$49,'Standings Data'!$A$2:$A$49="F"),_xlfn._xlws.FILTER('Standings Data'!$K$2:$K$49,'Standings Data'!$A$2:$A$49="F"),1),1,11),"")</f>
        <v>F1</v>
      </c>
      <c r="L38" s="15" t="str" cm="1">
        <f t="array" ref="L38">IFERROR(INDEX(_xlfn.SORTBY(_xlfn._xlws.FILTER('Standings Data'!$B$2:$M$49,'Standings Data'!$A$2:$A$49="F"),_xlfn._xlws.FILTER('Standings Data'!$K$2:$K$49,'Standings Data'!$A$2:$A$49="F"),1),1,12),"")</f>
        <v>Qualified</v>
      </c>
      <c r="M38" s="1"/>
      <c r="N38" s="1"/>
      <c r="O38" s="15" t="str" cm="1">
        <f t="array" ref="O38">IFERROR(INDEX(_xlfn.SORTBY(_xlfn._xlws.FILTER('Standings Data'!$B$2:$M$49,'Standings Data'!$A$2:$A$49="L"),_xlfn._xlws.FILTER('Standings Data'!$K$2:$K$49,'Standings Data'!$A$2:$A$49="L"),1),1,1),"")</f>
        <v>England</v>
      </c>
      <c r="P38" s="16" cm="1">
        <f t="array" ref="P38">IFERROR(INDEX(_xlfn.SORTBY(_xlfn._xlws.FILTER('Standings Data'!$B$2:$M$49,'Standings Data'!$A$2:$A$49="L"),_xlfn._xlws.FILTER('Standings Data'!$K$2:$K$49,'Standings Data'!$A$2:$A$49="L"),1),1,2),"")</f>
        <v>3</v>
      </c>
      <c r="Q38" s="16" cm="1">
        <f t="array" ref="Q38">IFERROR(INDEX(_xlfn.SORTBY(_xlfn._xlws.FILTER('Standings Data'!$B$2:$M$49,'Standings Data'!$A$2:$A$49="L"),_xlfn._xlws.FILTER('Standings Data'!$K$2:$K$49,'Standings Data'!$A$2:$A$49="L"),1),1,3),"")</f>
        <v>2</v>
      </c>
      <c r="R38" s="16" cm="1">
        <f t="array" ref="R38">IFERROR(INDEX(_xlfn.SORTBY(_xlfn._xlws.FILTER('Standings Data'!$B$2:$M$49,'Standings Data'!$A$2:$A$49="L"),_xlfn._xlws.FILTER('Standings Data'!$K$2:$K$49,'Standings Data'!$A$2:$A$49="L"),1),1,4),"")</f>
        <v>1</v>
      </c>
      <c r="S38" s="16" cm="1">
        <f t="array" ref="S38">IFERROR(INDEX(_xlfn.SORTBY(_xlfn._xlws.FILTER('Standings Data'!$B$2:$M$49,'Standings Data'!$A$2:$A$49="L"),_xlfn._xlws.FILTER('Standings Data'!$K$2:$K$49,'Standings Data'!$A$2:$A$49="L"),1),1,5),"")</f>
        <v>0</v>
      </c>
      <c r="T38" s="16" cm="1">
        <f t="array" ref="T38">IFERROR(INDEX(_xlfn.SORTBY(_xlfn._xlws.FILTER('Standings Data'!$B$2:$M$49,'Standings Data'!$A$2:$A$49="L"),_xlfn._xlws.FILTER('Standings Data'!$K$2:$K$49,'Standings Data'!$A$2:$A$49="L"),1),1,6),"")</f>
        <v>6</v>
      </c>
      <c r="U38" s="16" cm="1">
        <f t="array" ref="U38">IFERROR(INDEX(_xlfn.SORTBY(_xlfn._xlws.FILTER('Standings Data'!$B$2:$M$49,'Standings Data'!$A$2:$A$49="L"),_xlfn._xlws.FILTER('Standings Data'!$K$2:$K$49,'Standings Data'!$A$2:$A$49="L"),1),1,7),"")</f>
        <v>2</v>
      </c>
      <c r="V38" s="16" cm="1">
        <f t="array" ref="V38">IFERROR(INDEX(_xlfn.SORTBY(_xlfn._xlws.FILTER('Standings Data'!$B$2:$M$49,'Standings Data'!$A$2:$A$49="L"),_xlfn._xlws.FILTER('Standings Data'!$K$2:$K$49,'Standings Data'!$A$2:$A$49="L"),1),1,8),"")</f>
        <v>4</v>
      </c>
      <c r="W38" s="16" cm="1">
        <f t="array" ref="W38">IFERROR(INDEX(_xlfn.SORTBY(_xlfn._xlws.FILTER('Standings Data'!$B$2:$M$49,'Standings Data'!$A$2:$A$49="L"),_xlfn._xlws.FILTER('Standings Data'!$K$2:$K$49,'Standings Data'!$A$2:$A$49="L"),1),1,9),"")</f>
        <v>7</v>
      </c>
      <c r="X38" s="16" cm="1">
        <f t="array" ref="X38">IFERROR(INDEX(_xlfn.SORTBY(_xlfn._xlws.FILTER('Standings Data'!$B$2:$M$49,'Standings Data'!$A$2:$A$49="L"),_xlfn._xlws.FILTER('Standings Data'!$K$2:$K$49,'Standings Data'!$A$2:$A$49="L"),1),1,10),"")</f>
        <v>1</v>
      </c>
      <c r="Y38" s="17" t="str" cm="1">
        <f t="array" ref="Y38">IFERROR(INDEX(_xlfn.SORTBY(_xlfn._xlws.FILTER('Standings Data'!$B$2:$M$49,'Standings Data'!$A$2:$A$49="L"),_xlfn._xlws.FILTER('Standings Data'!$K$2:$K$49,'Standings Data'!$A$2:$A$49="L"),1),1,11),"")</f>
        <v>L1</v>
      </c>
      <c r="Z38" s="15" t="str" cm="1">
        <f t="array" ref="Z38">IFERROR(INDEX(_xlfn.SORTBY(_xlfn._xlws.FILTER('Standings Data'!$B$2:$M$49,'Standings Data'!$A$2:$A$49="L"),_xlfn._xlws.FILTER('Standings Data'!$K$2:$K$49,'Standings Data'!$A$2:$A$49="L"),1),1,12),"")</f>
        <v>Qualified</v>
      </c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35">
      <c r="A39" s="15" t="str" cm="1">
        <f t="array" ref="A39">IFERROR(INDEX(_xlfn.SORTBY(_xlfn._xlws.FILTER('Standings Data'!$B$2:$M$49,'Standings Data'!$A$2:$A$49="F"),_xlfn._xlws.FILTER('Standings Data'!$K$2:$K$49,'Standings Data'!$A$2:$A$49="F"),1),2,1),"")</f>
        <v>Japan</v>
      </c>
      <c r="B39" s="16" cm="1">
        <f t="array" ref="B39">IFERROR(INDEX(_xlfn.SORTBY(_xlfn._xlws.FILTER('Standings Data'!$B$2:$M$49,'Standings Data'!$A$2:$A$49="F"),_xlfn._xlws.FILTER('Standings Data'!$K$2:$K$49,'Standings Data'!$A$2:$A$49="F"),1),2,2),"")</f>
        <v>3</v>
      </c>
      <c r="C39" s="16" cm="1">
        <f t="array" ref="C39">IFERROR(INDEX(_xlfn.SORTBY(_xlfn._xlws.FILTER('Standings Data'!$B$2:$M$49,'Standings Data'!$A$2:$A$49="F"),_xlfn._xlws.FILTER('Standings Data'!$K$2:$K$49,'Standings Data'!$A$2:$A$49="F"),1),2,3),"")</f>
        <v>1</v>
      </c>
      <c r="D39" s="16" cm="1">
        <f t="array" ref="D39">IFERROR(INDEX(_xlfn.SORTBY(_xlfn._xlws.FILTER('Standings Data'!$B$2:$M$49,'Standings Data'!$A$2:$A$49="F"),_xlfn._xlws.FILTER('Standings Data'!$K$2:$K$49,'Standings Data'!$A$2:$A$49="F"),1),2,4),"")</f>
        <v>2</v>
      </c>
      <c r="E39" s="16" cm="1">
        <f t="array" ref="E39">IFERROR(INDEX(_xlfn.SORTBY(_xlfn._xlws.FILTER('Standings Data'!$B$2:$M$49,'Standings Data'!$A$2:$A$49="F"),_xlfn._xlws.FILTER('Standings Data'!$K$2:$K$49,'Standings Data'!$A$2:$A$49="F"),1),2,5),"")</f>
        <v>0</v>
      </c>
      <c r="F39" s="16" cm="1">
        <f t="array" ref="F39">IFERROR(INDEX(_xlfn.SORTBY(_xlfn._xlws.FILTER('Standings Data'!$B$2:$M$49,'Standings Data'!$A$2:$A$49="F"),_xlfn._xlws.FILTER('Standings Data'!$K$2:$K$49,'Standings Data'!$A$2:$A$49="F"),1),2,6),"")</f>
        <v>7</v>
      </c>
      <c r="G39" s="16" cm="1">
        <f t="array" ref="G39">IFERROR(INDEX(_xlfn.SORTBY(_xlfn._xlws.FILTER('Standings Data'!$B$2:$M$49,'Standings Data'!$A$2:$A$49="F"),_xlfn._xlws.FILTER('Standings Data'!$K$2:$K$49,'Standings Data'!$A$2:$A$49="F"),1),2,7),"")</f>
        <v>3</v>
      </c>
      <c r="H39" s="16" cm="1">
        <f t="array" ref="H39">IFERROR(INDEX(_xlfn.SORTBY(_xlfn._xlws.FILTER('Standings Data'!$B$2:$M$49,'Standings Data'!$A$2:$A$49="F"),_xlfn._xlws.FILTER('Standings Data'!$K$2:$K$49,'Standings Data'!$A$2:$A$49="F"),1),2,8),"")</f>
        <v>4</v>
      </c>
      <c r="I39" s="16" cm="1">
        <f t="array" ref="I39">IFERROR(INDEX(_xlfn.SORTBY(_xlfn._xlws.FILTER('Standings Data'!$B$2:$M$49,'Standings Data'!$A$2:$A$49="F"),_xlfn._xlws.FILTER('Standings Data'!$K$2:$K$49,'Standings Data'!$A$2:$A$49="F"),1),2,9),"")</f>
        <v>5</v>
      </c>
      <c r="J39" s="16" cm="1">
        <f t="array" ref="J39">IFERROR(INDEX(_xlfn.SORTBY(_xlfn._xlws.FILTER('Standings Data'!$B$2:$M$49,'Standings Data'!$A$2:$A$49="F"),_xlfn._xlws.FILTER('Standings Data'!$K$2:$K$49,'Standings Data'!$A$2:$A$49="F"),1),2,10),"")</f>
        <v>2</v>
      </c>
      <c r="K39" s="17" t="str" cm="1">
        <f t="array" ref="K39">IFERROR(INDEX(_xlfn.SORTBY(_xlfn._xlws.FILTER('Standings Data'!$B$2:$M$49,'Standings Data'!$A$2:$A$49="F"),_xlfn._xlws.FILTER('Standings Data'!$K$2:$K$49,'Standings Data'!$A$2:$A$49="F"),1),2,11),"")</f>
        <v>F2</v>
      </c>
      <c r="L39" s="15" t="str" cm="1">
        <f t="array" ref="L39">IFERROR(INDEX(_xlfn.SORTBY(_xlfn._xlws.FILTER('Standings Data'!$B$2:$M$49,'Standings Data'!$A$2:$A$49="F"),_xlfn._xlws.FILTER('Standings Data'!$K$2:$K$49,'Standings Data'!$A$2:$A$49="F"),1),2,12),"")</f>
        <v>Qualified</v>
      </c>
      <c r="M39" s="1"/>
      <c r="N39" s="1"/>
      <c r="O39" s="15" t="str" cm="1">
        <f t="array" ref="O39">IFERROR(INDEX(_xlfn.SORTBY(_xlfn._xlws.FILTER('Standings Data'!$B$2:$M$49,'Standings Data'!$A$2:$A$49="L"),_xlfn._xlws.FILTER('Standings Data'!$K$2:$K$49,'Standings Data'!$A$2:$A$49="L"),1),2,1),"")</f>
        <v>Croatia</v>
      </c>
      <c r="P39" s="16" cm="1">
        <f t="array" ref="P39">IFERROR(INDEX(_xlfn.SORTBY(_xlfn._xlws.FILTER('Standings Data'!$B$2:$M$49,'Standings Data'!$A$2:$A$49="L"),_xlfn._xlws.FILTER('Standings Data'!$K$2:$K$49,'Standings Data'!$A$2:$A$49="L"),1),2,2),"")</f>
        <v>3</v>
      </c>
      <c r="Q39" s="16" cm="1">
        <f t="array" ref="Q39">IFERROR(INDEX(_xlfn.SORTBY(_xlfn._xlws.FILTER('Standings Data'!$B$2:$M$49,'Standings Data'!$A$2:$A$49="L"),_xlfn._xlws.FILTER('Standings Data'!$K$2:$K$49,'Standings Data'!$A$2:$A$49="L"),1),2,3),"")</f>
        <v>2</v>
      </c>
      <c r="R39" s="16" cm="1">
        <f t="array" ref="R39">IFERROR(INDEX(_xlfn.SORTBY(_xlfn._xlws.FILTER('Standings Data'!$B$2:$M$49,'Standings Data'!$A$2:$A$49="L"),_xlfn._xlws.FILTER('Standings Data'!$K$2:$K$49,'Standings Data'!$A$2:$A$49="L"),1),2,4),"")</f>
        <v>0</v>
      </c>
      <c r="S39" s="16" cm="1">
        <f t="array" ref="S39">IFERROR(INDEX(_xlfn.SORTBY(_xlfn._xlws.FILTER('Standings Data'!$B$2:$M$49,'Standings Data'!$A$2:$A$49="L"),_xlfn._xlws.FILTER('Standings Data'!$K$2:$K$49,'Standings Data'!$A$2:$A$49="L"),1),2,5),"")</f>
        <v>1</v>
      </c>
      <c r="T39" s="16" cm="1">
        <f t="array" ref="T39">IFERROR(INDEX(_xlfn.SORTBY(_xlfn._xlws.FILTER('Standings Data'!$B$2:$M$49,'Standings Data'!$A$2:$A$49="L"),_xlfn._xlws.FILTER('Standings Data'!$K$2:$K$49,'Standings Data'!$A$2:$A$49="L"),1),2,6),"")</f>
        <v>5</v>
      </c>
      <c r="U39" s="16" cm="1">
        <f t="array" ref="U39">IFERROR(INDEX(_xlfn.SORTBY(_xlfn._xlws.FILTER('Standings Data'!$B$2:$M$49,'Standings Data'!$A$2:$A$49="L"),_xlfn._xlws.FILTER('Standings Data'!$K$2:$K$49,'Standings Data'!$A$2:$A$49="L"),1),2,7),"")</f>
        <v>5</v>
      </c>
      <c r="V39" s="16" cm="1">
        <f t="array" ref="V39">IFERROR(INDEX(_xlfn.SORTBY(_xlfn._xlws.FILTER('Standings Data'!$B$2:$M$49,'Standings Data'!$A$2:$A$49="L"),_xlfn._xlws.FILTER('Standings Data'!$K$2:$K$49,'Standings Data'!$A$2:$A$49="L"),1),2,8),"")</f>
        <v>0</v>
      </c>
      <c r="W39" s="16" cm="1">
        <f t="array" ref="W39">IFERROR(INDEX(_xlfn.SORTBY(_xlfn._xlws.FILTER('Standings Data'!$B$2:$M$49,'Standings Data'!$A$2:$A$49="L"),_xlfn._xlws.FILTER('Standings Data'!$K$2:$K$49,'Standings Data'!$A$2:$A$49="L"),1),2,9),"")</f>
        <v>6</v>
      </c>
      <c r="X39" s="16" cm="1">
        <f t="array" ref="X39">IFERROR(INDEX(_xlfn.SORTBY(_xlfn._xlws.FILTER('Standings Data'!$B$2:$M$49,'Standings Data'!$A$2:$A$49="L"),_xlfn._xlws.FILTER('Standings Data'!$K$2:$K$49,'Standings Data'!$A$2:$A$49="L"),1),2,10),"")</f>
        <v>2</v>
      </c>
      <c r="Y39" s="17" t="str" cm="1">
        <f t="array" ref="Y39">IFERROR(INDEX(_xlfn.SORTBY(_xlfn._xlws.FILTER('Standings Data'!$B$2:$M$49,'Standings Data'!$A$2:$A$49="L"),_xlfn._xlws.FILTER('Standings Data'!$K$2:$K$49,'Standings Data'!$A$2:$A$49="L"),1),2,11),"")</f>
        <v>L2</v>
      </c>
      <c r="Z39" s="15" t="str" cm="1">
        <f t="array" ref="Z39">IFERROR(INDEX(_xlfn.SORTBY(_xlfn._xlws.FILTER('Standings Data'!$B$2:$M$49,'Standings Data'!$A$2:$A$49="L"),_xlfn._xlws.FILTER('Standings Data'!$K$2:$K$49,'Standings Data'!$A$2:$A$49="L"),1),2,12),"")</f>
        <v>Qualified</v>
      </c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35">
      <c r="A40" s="15" t="str" cm="1">
        <f t="array" ref="A40">IFERROR(INDEX(_xlfn.SORTBY(_xlfn._xlws.FILTER('Standings Data'!$B$2:$M$49,'Standings Data'!$A$2:$A$49="F"),_xlfn._xlws.FILTER('Standings Data'!$K$2:$K$49,'Standings Data'!$A$2:$A$49="F"),1),3,1),"")</f>
        <v>Sweden</v>
      </c>
      <c r="B40" s="16" cm="1">
        <f t="array" ref="B40">IFERROR(INDEX(_xlfn.SORTBY(_xlfn._xlws.FILTER('Standings Data'!$B$2:$M$49,'Standings Data'!$A$2:$A$49="F"),_xlfn._xlws.FILTER('Standings Data'!$K$2:$K$49,'Standings Data'!$A$2:$A$49="F"),1),3,2),"")</f>
        <v>3</v>
      </c>
      <c r="C40" s="16" cm="1">
        <f t="array" ref="C40">IFERROR(INDEX(_xlfn.SORTBY(_xlfn._xlws.FILTER('Standings Data'!$B$2:$M$49,'Standings Data'!$A$2:$A$49="F"),_xlfn._xlws.FILTER('Standings Data'!$K$2:$K$49,'Standings Data'!$A$2:$A$49="F"),1),3,3),"")</f>
        <v>1</v>
      </c>
      <c r="D40" s="16" cm="1">
        <f t="array" ref="D40">IFERROR(INDEX(_xlfn.SORTBY(_xlfn._xlws.FILTER('Standings Data'!$B$2:$M$49,'Standings Data'!$A$2:$A$49="F"),_xlfn._xlws.FILTER('Standings Data'!$K$2:$K$49,'Standings Data'!$A$2:$A$49="F"),1),3,4),"")</f>
        <v>1</v>
      </c>
      <c r="E40" s="16" cm="1">
        <f t="array" ref="E40">IFERROR(INDEX(_xlfn.SORTBY(_xlfn._xlws.FILTER('Standings Data'!$B$2:$M$49,'Standings Data'!$A$2:$A$49="F"),_xlfn._xlws.FILTER('Standings Data'!$K$2:$K$49,'Standings Data'!$A$2:$A$49="F"),1),3,5),"")</f>
        <v>1</v>
      </c>
      <c r="F40" s="16" cm="1">
        <f t="array" ref="F40">IFERROR(INDEX(_xlfn.SORTBY(_xlfn._xlws.FILTER('Standings Data'!$B$2:$M$49,'Standings Data'!$A$2:$A$49="F"),_xlfn._xlws.FILTER('Standings Data'!$K$2:$K$49,'Standings Data'!$A$2:$A$49="F"),1),3,6),"")</f>
        <v>7</v>
      </c>
      <c r="G40" s="16" cm="1">
        <f t="array" ref="G40">IFERROR(INDEX(_xlfn.SORTBY(_xlfn._xlws.FILTER('Standings Data'!$B$2:$M$49,'Standings Data'!$A$2:$A$49="F"),_xlfn._xlws.FILTER('Standings Data'!$K$2:$K$49,'Standings Data'!$A$2:$A$49="F"),1),3,7),"")</f>
        <v>7</v>
      </c>
      <c r="H40" s="16" cm="1">
        <f t="array" ref="H40">IFERROR(INDEX(_xlfn.SORTBY(_xlfn._xlws.FILTER('Standings Data'!$B$2:$M$49,'Standings Data'!$A$2:$A$49="F"),_xlfn._xlws.FILTER('Standings Data'!$K$2:$K$49,'Standings Data'!$A$2:$A$49="F"),1),3,8),"")</f>
        <v>0</v>
      </c>
      <c r="I40" s="16" cm="1">
        <f t="array" ref="I40">IFERROR(INDEX(_xlfn.SORTBY(_xlfn._xlws.FILTER('Standings Data'!$B$2:$M$49,'Standings Data'!$A$2:$A$49="F"),_xlfn._xlws.FILTER('Standings Data'!$K$2:$K$49,'Standings Data'!$A$2:$A$49="F"),1),3,9),"")</f>
        <v>4</v>
      </c>
      <c r="J40" s="16" cm="1">
        <f t="array" ref="J40">IFERROR(INDEX(_xlfn.SORTBY(_xlfn._xlws.FILTER('Standings Data'!$B$2:$M$49,'Standings Data'!$A$2:$A$49="F"),_xlfn._xlws.FILTER('Standings Data'!$K$2:$K$49,'Standings Data'!$A$2:$A$49="F"),1),3,10),"")</f>
        <v>3</v>
      </c>
      <c r="K40" s="17" t="str" cm="1">
        <f t="array" ref="K40">IFERROR(INDEX(_xlfn.SORTBY(_xlfn._xlws.FILTER('Standings Data'!$B$2:$M$49,'Standings Data'!$A$2:$A$49="F"),_xlfn._xlws.FILTER('Standings Data'!$K$2:$K$49,'Standings Data'!$A$2:$A$49="F"),1),3,11),"")</f>
        <v>F3</v>
      </c>
      <c r="L40" s="15" t="str" cm="1">
        <f t="array" ref="L40">IFERROR(INDEX(_xlfn.SORTBY(_xlfn._xlws.FILTER('Standings Data'!$B$2:$M$49,'Standings Data'!$A$2:$A$49="F"),_xlfn._xlws.FILTER('Standings Data'!$K$2:$K$49,'Standings Data'!$A$2:$A$49="F"),1),3,12),"")</f>
        <v>Third-place pool</v>
      </c>
      <c r="M40" s="1"/>
      <c r="N40" s="1"/>
      <c r="O40" s="15" t="str" cm="1">
        <f t="array" ref="O40">IFERROR(INDEX(_xlfn.SORTBY(_xlfn._xlws.FILTER('Standings Data'!$B$2:$M$49,'Standings Data'!$A$2:$A$49="L"),_xlfn._xlws.FILTER('Standings Data'!$K$2:$K$49,'Standings Data'!$A$2:$A$49="L"),1),3,1),"")</f>
        <v>Ghana</v>
      </c>
      <c r="P40" s="16" cm="1">
        <f t="array" ref="P40">IFERROR(INDEX(_xlfn.SORTBY(_xlfn._xlws.FILTER('Standings Data'!$B$2:$M$49,'Standings Data'!$A$2:$A$49="L"),_xlfn._xlws.FILTER('Standings Data'!$K$2:$K$49,'Standings Data'!$A$2:$A$49="L"),1),3,2),"")</f>
        <v>3</v>
      </c>
      <c r="Q40" s="16" cm="1">
        <f t="array" ref="Q40">IFERROR(INDEX(_xlfn.SORTBY(_xlfn._xlws.FILTER('Standings Data'!$B$2:$M$49,'Standings Data'!$A$2:$A$49="L"),_xlfn._xlws.FILTER('Standings Data'!$K$2:$K$49,'Standings Data'!$A$2:$A$49="L"),1),3,3),"")</f>
        <v>1</v>
      </c>
      <c r="R40" s="16" cm="1">
        <f t="array" ref="R40">IFERROR(INDEX(_xlfn.SORTBY(_xlfn._xlws.FILTER('Standings Data'!$B$2:$M$49,'Standings Data'!$A$2:$A$49="L"),_xlfn._xlws.FILTER('Standings Data'!$K$2:$K$49,'Standings Data'!$A$2:$A$49="L"),1),3,4),"")</f>
        <v>1</v>
      </c>
      <c r="S40" s="16" cm="1">
        <f t="array" ref="S40">IFERROR(INDEX(_xlfn.SORTBY(_xlfn._xlws.FILTER('Standings Data'!$B$2:$M$49,'Standings Data'!$A$2:$A$49="L"),_xlfn._xlws.FILTER('Standings Data'!$K$2:$K$49,'Standings Data'!$A$2:$A$49="L"),1),3,5),"")</f>
        <v>1</v>
      </c>
      <c r="T40" s="16" cm="1">
        <f t="array" ref="T40">IFERROR(INDEX(_xlfn.SORTBY(_xlfn._xlws.FILTER('Standings Data'!$B$2:$M$49,'Standings Data'!$A$2:$A$49="L"),_xlfn._xlws.FILTER('Standings Data'!$K$2:$K$49,'Standings Data'!$A$2:$A$49="L"),1),3,6),"")</f>
        <v>2</v>
      </c>
      <c r="U40" s="16" cm="1">
        <f t="array" ref="U40">IFERROR(INDEX(_xlfn.SORTBY(_xlfn._xlws.FILTER('Standings Data'!$B$2:$M$49,'Standings Data'!$A$2:$A$49="L"),_xlfn._xlws.FILTER('Standings Data'!$K$2:$K$49,'Standings Data'!$A$2:$A$49="L"),1),3,7),"")</f>
        <v>2</v>
      </c>
      <c r="V40" s="16" cm="1">
        <f t="array" ref="V40">IFERROR(INDEX(_xlfn.SORTBY(_xlfn._xlws.FILTER('Standings Data'!$B$2:$M$49,'Standings Data'!$A$2:$A$49="L"),_xlfn._xlws.FILTER('Standings Data'!$K$2:$K$49,'Standings Data'!$A$2:$A$49="L"),1),3,8),"")</f>
        <v>0</v>
      </c>
      <c r="W40" s="16" cm="1">
        <f t="array" ref="W40">IFERROR(INDEX(_xlfn.SORTBY(_xlfn._xlws.FILTER('Standings Data'!$B$2:$M$49,'Standings Data'!$A$2:$A$49="L"),_xlfn._xlws.FILTER('Standings Data'!$K$2:$K$49,'Standings Data'!$A$2:$A$49="L"),1),3,9),"")</f>
        <v>4</v>
      </c>
      <c r="X40" s="16" cm="1">
        <f t="array" ref="X40">IFERROR(INDEX(_xlfn.SORTBY(_xlfn._xlws.FILTER('Standings Data'!$B$2:$M$49,'Standings Data'!$A$2:$A$49="L"),_xlfn._xlws.FILTER('Standings Data'!$K$2:$K$49,'Standings Data'!$A$2:$A$49="L"),1),3,10),"")</f>
        <v>3</v>
      </c>
      <c r="Y40" s="17" t="str" cm="1">
        <f t="array" ref="Y40">IFERROR(INDEX(_xlfn.SORTBY(_xlfn._xlws.FILTER('Standings Data'!$B$2:$M$49,'Standings Data'!$A$2:$A$49="L"),_xlfn._xlws.FILTER('Standings Data'!$K$2:$K$49,'Standings Data'!$A$2:$A$49="L"),1),3,11),"")</f>
        <v>L3</v>
      </c>
      <c r="Z40" s="15" t="str" cm="1">
        <f t="array" ref="Z40">IFERROR(INDEX(_xlfn.SORTBY(_xlfn._xlws.FILTER('Standings Data'!$B$2:$M$49,'Standings Data'!$A$2:$A$49="L"),_xlfn._xlws.FILTER('Standings Data'!$K$2:$K$49,'Standings Data'!$A$2:$A$49="L"),1),3,12),"")</f>
        <v>Third-place pool</v>
      </c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35">
      <c r="A41" s="15" t="str" cm="1">
        <f t="array" ref="A41">IFERROR(INDEX(_xlfn.SORTBY(_xlfn._xlws.FILTER('Standings Data'!$B$2:$M$49,'Standings Data'!$A$2:$A$49="F"),_xlfn._xlws.FILTER('Standings Data'!$K$2:$K$49,'Standings Data'!$A$2:$A$49="F"),1),4,1),"")</f>
        <v>Tunisia</v>
      </c>
      <c r="B41" s="16" cm="1">
        <f t="array" ref="B41">IFERROR(INDEX(_xlfn.SORTBY(_xlfn._xlws.FILTER('Standings Data'!$B$2:$M$49,'Standings Data'!$A$2:$A$49="F"),_xlfn._xlws.FILTER('Standings Data'!$K$2:$K$49,'Standings Data'!$A$2:$A$49="F"),1),4,2),"")</f>
        <v>3</v>
      </c>
      <c r="C41" s="16" cm="1">
        <f t="array" ref="C41">IFERROR(INDEX(_xlfn.SORTBY(_xlfn._xlws.FILTER('Standings Data'!$B$2:$M$49,'Standings Data'!$A$2:$A$49="F"),_xlfn._xlws.FILTER('Standings Data'!$K$2:$K$49,'Standings Data'!$A$2:$A$49="F"),1),4,3),"")</f>
        <v>0</v>
      </c>
      <c r="D41" s="16" cm="1">
        <f t="array" ref="D41">IFERROR(INDEX(_xlfn.SORTBY(_xlfn._xlws.FILTER('Standings Data'!$B$2:$M$49,'Standings Data'!$A$2:$A$49="F"),_xlfn._xlws.FILTER('Standings Data'!$K$2:$K$49,'Standings Data'!$A$2:$A$49="F"),1),4,4),"")</f>
        <v>0</v>
      </c>
      <c r="E41" s="16" cm="1">
        <f t="array" ref="E41">IFERROR(INDEX(_xlfn.SORTBY(_xlfn._xlws.FILTER('Standings Data'!$B$2:$M$49,'Standings Data'!$A$2:$A$49="F"),_xlfn._xlws.FILTER('Standings Data'!$K$2:$K$49,'Standings Data'!$A$2:$A$49="F"),1),4,5),"")</f>
        <v>3</v>
      </c>
      <c r="F41" s="16" cm="1">
        <f t="array" ref="F41">IFERROR(INDEX(_xlfn.SORTBY(_xlfn._xlws.FILTER('Standings Data'!$B$2:$M$49,'Standings Data'!$A$2:$A$49="F"),_xlfn._xlws.FILTER('Standings Data'!$K$2:$K$49,'Standings Data'!$A$2:$A$49="F"),1),4,6),"")</f>
        <v>2</v>
      </c>
      <c r="G41" s="16" cm="1">
        <f t="array" ref="G41">IFERROR(INDEX(_xlfn.SORTBY(_xlfn._xlws.FILTER('Standings Data'!$B$2:$M$49,'Standings Data'!$A$2:$A$49="F"),_xlfn._xlws.FILTER('Standings Data'!$K$2:$K$49,'Standings Data'!$A$2:$A$49="F"),1),4,7),"")</f>
        <v>12</v>
      </c>
      <c r="H41" s="16" cm="1">
        <f t="array" ref="H41">IFERROR(INDEX(_xlfn.SORTBY(_xlfn._xlws.FILTER('Standings Data'!$B$2:$M$49,'Standings Data'!$A$2:$A$49="F"),_xlfn._xlws.FILTER('Standings Data'!$K$2:$K$49,'Standings Data'!$A$2:$A$49="F"),1),4,8),"")</f>
        <v>-10</v>
      </c>
      <c r="I41" s="16" cm="1">
        <f t="array" ref="I41">IFERROR(INDEX(_xlfn.SORTBY(_xlfn._xlws.FILTER('Standings Data'!$B$2:$M$49,'Standings Data'!$A$2:$A$49="F"),_xlfn._xlws.FILTER('Standings Data'!$K$2:$K$49,'Standings Data'!$A$2:$A$49="F"),1),4,9),"")</f>
        <v>0</v>
      </c>
      <c r="J41" s="16" cm="1">
        <f t="array" ref="J41">IFERROR(INDEX(_xlfn.SORTBY(_xlfn._xlws.FILTER('Standings Data'!$B$2:$M$49,'Standings Data'!$A$2:$A$49="F"),_xlfn._xlws.FILTER('Standings Data'!$K$2:$K$49,'Standings Data'!$A$2:$A$49="F"),1),4,10),"")</f>
        <v>4</v>
      </c>
      <c r="K41" s="17" t="str" cm="1">
        <f t="array" ref="K41">IFERROR(INDEX(_xlfn.SORTBY(_xlfn._xlws.FILTER('Standings Data'!$B$2:$M$49,'Standings Data'!$A$2:$A$49="F"),_xlfn._xlws.FILTER('Standings Data'!$K$2:$K$49,'Standings Data'!$A$2:$A$49="F"),1),4,11),"")</f>
        <v>F4</v>
      </c>
      <c r="L41" s="15" t="str" cm="1">
        <f t="array" ref="L41">IFERROR(INDEX(_xlfn.SORTBY(_xlfn._xlws.FILTER('Standings Data'!$B$2:$M$49,'Standings Data'!$A$2:$A$49="F"),_xlfn._xlws.FILTER('Standings Data'!$K$2:$K$49,'Standings Data'!$A$2:$A$49="F"),1),4,12),"")</f>
        <v/>
      </c>
      <c r="M41" s="1"/>
      <c r="N41" s="1"/>
      <c r="O41" s="15" t="str" cm="1">
        <f t="array" ref="O41">IFERROR(INDEX(_xlfn.SORTBY(_xlfn._xlws.FILTER('Standings Data'!$B$2:$M$49,'Standings Data'!$A$2:$A$49="L"),_xlfn._xlws.FILTER('Standings Data'!$K$2:$K$49,'Standings Data'!$A$2:$A$49="L"),1),4,1),"")</f>
        <v>Panama</v>
      </c>
      <c r="P41" s="16" cm="1">
        <f t="array" ref="P41">IFERROR(INDEX(_xlfn.SORTBY(_xlfn._xlws.FILTER('Standings Data'!$B$2:$M$49,'Standings Data'!$A$2:$A$49="L"),_xlfn._xlws.FILTER('Standings Data'!$K$2:$K$49,'Standings Data'!$A$2:$A$49="L"),1),4,2),"")</f>
        <v>3</v>
      </c>
      <c r="Q41" s="16" cm="1">
        <f t="array" ref="Q41">IFERROR(INDEX(_xlfn.SORTBY(_xlfn._xlws.FILTER('Standings Data'!$B$2:$M$49,'Standings Data'!$A$2:$A$49="L"),_xlfn._xlws.FILTER('Standings Data'!$K$2:$K$49,'Standings Data'!$A$2:$A$49="L"),1),4,3),"")</f>
        <v>0</v>
      </c>
      <c r="R41" s="16" cm="1">
        <f t="array" ref="R41">IFERROR(INDEX(_xlfn.SORTBY(_xlfn._xlws.FILTER('Standings Data'!$B$2:$M$49,'Standings Data'!$A$2:$A$49="L"),_xlfn._xlws.FILTER('Standings Data'!$K$2:$K$49,'Standings Data'!$A$2:$A$49="L"),1),4,4),"")</f>
        <v>0</v>
      </c>
      <c r="S41" s="16" cm="1">
        <f t="array" ref="S41">IFERROR(INDEX(_xlfn.SORTBY(_xlfn._xlws.FILTER('Standings Data'!$B$2:$M$49,'Standings Data'!$A$2:$A$49="L"),_xlfn._xlws.FILTER('Standings Data'!$K$2:$K$49,'Standings Data'!$A$2:$A$49="L"),1),4,5),"")</f>
        <v>3</v>
      </c>
      <c r="T41" s="16" cm="1">
        <f t="array" ref="T41">IFERROR(INDEX(_xlfn.SORTBY(_xlfn._xlws.FILTER('Standings Data'!$B$2:$M$49,'Standings Data'!$A$2:$A$49="L"),_xlfn._xlws.FILTER('Standings Data'!$K$2:$K$49,'Standings Data'!$A$2:$A$49="L"),1),4,6),"")</f>
        <v>0</v>
      </c>
      <c r="U41" s="16" cm="1">
        <f t="array" ref="U41">IFERROR(INDEX(_xlfn.SORTBY(_xlfn._xlws.FILTER('Standings Data'!$B$2:$M$49,'Standings Data'!$A$2:$A$49="L"),_xlfn._xlws.FILTER('Standings Data'!$K$2:$K$49,'Standings Data'!$A$2:$A$49="L"),1),4,7),"")</f>
        <v>4</v>
      </c>
      <c r="V41" s="16" cm="1">
        <f t="array" ref="V41">IFERROR(INDEX(_xlfn.SORTBY(_xlfn._xlws.FILTER('Standings Data'!$B$2:$M$49,'Standings Data'!$A$2:$A$49="L"),_xlfn._xlws.FILTER('Standings Data'!$K$2:$K$49,'Standings Data'!$A$2:$A$49="L"),1),4,8),"")</f>
        <v>-4</v>
      </c>
      <c r="W41" s="16" cm="1">
        <f t="array" ref="W41">IFERROR(INDEX(_xlfn.SORTBY(_xlfn._xlws.FILTER('Standings Data'!$B$2:$M$49,'Standings Data'!$A$2:$A$49="L"),_xlfn._xlws.FILTER('Standings Data'!$K$2:$K$49,'Standings Data'!$A$2:$A$49="L"),1),4,9),"")</f>
        <v>0</v>
      </c>
      <c r="X41" s="16" cm="1">
        <f t="array" ref="X41">IFERROR(INDEX(_xlfn.SORTBY(_xlfn._xlws.FILTER('Standings Data'!$B$2:$M$49,'Standings Data'!$A$2:$A$49="L"),_xlfn._xlws.FILTER('Standings Data'!$K$2:$K$49,'Standings Data'!$A$2:$A$49="L"),1),4,10),"")</f>
        <v>4</v>
      </c>
      <c r="Y41" s="17" t="str" cm="1">
        <f t="array" ref="Y41">IFERROR(INDEX(_xlfn.SORTBY(_xlfn._xlws.FILTER('Standings Data'!$B$2:$M$49,'Standings Data'!$A$2:$A$49="L"),_xlfn._xlws.FILTER('Standings Data'!$K$2:$K$49,'Standings Data'!$A$2:$A$49="L"),1),4,11),"")</f>
        <v>L4</v>
      </c>
      <c r="Z41" s="15" t="str" cm="1">
        <f t="array" ref="Z41">IFERROR(INDEX(_xlfn.SORTBY(_xlfn._xlws.FILTER('Standings Data'!$B$2:$M$49,'Standings Data'!$A$2:$A$49="L"),_xlfn._xlws.FILTER('Standings Data'!$K$2:$K$49,'Standings Data'!$A$2:$A$49="L"),1),4,12),"")</f>
        <v/>
      </c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35">
      <c r="A43" s="48" t="s">
        <v>220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3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</sheetData>
  <mergeCells count="14">
    <mergeCell ref="AC1:AI1"/>
    <mergeCell ref="A43:L44"/>
    <mergeCell ref="O1:Z1"/>
    <mergeCell ref="O8:Z8"/>
    <mergeCell ref="O15:Z15"/>
    <mergeCell ref="O22:Z22"/>
    <mergeCell ref="O29:Z29"/>
    <mergeCell ref="O36:Z36"/>
    <mergeCell ref="A1:L1"/>
    <mergeCell ref="A8:L8"/>
    <mergeCell ref="A15:L15"/>
    <mergeCell ref="A22:L22"/>
    <mergeCell ref="A29:L29"/>
    <mergeCell ref="A36:L36"/>
  </mergeCell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3A60-A576-4E62-A360-1925DB28A48D}">
  <dimension ref="A1:L73"/>
  <sheetViews>
    <sheetView topLeftCell="A28" zoomScale="115" zoomScaleNormal="115" workbookViewId="0">
      <selection activeCell="F57" sqref="F57"/>
    </sheetView>
  </sheetViews>
  <sheetFormatPr defaultRowHeight="14.5" x14ac:dyDescent="0.35"/>
  <cols>
    <col min="1" max="1" width="9.6328125" bestFit="1" customWidth="1"/>
    <col min="2" max="2" width="10.08984375" bestFit="1" customWidth="1"/>
    <col min="3" max="3" width="10.453125" bestFit="1" customWidth="1"/>
    <col min="4" max="4" width="8.1796875" bestFit="1" customWidth="1"/>
    <col min="5" max="6" width="20.08984375" bestFit="1" customWidth="1"/>
    <col min="7" max="8" width="14.08984375" bestFit="1" customWidth="1"/>
    <col min="9" max="9" width="9.6328125" bestFit="1" customWidth="1"/>
    <col min="10" max="10" width="20.08984375" bestFit="1" customWidth="1"/>
    <col min="11" max="11" width="26.54296875" bestFit="1" customWidth="1"/>
    <col min="12" max="12" width="7.90625" bestFit="1" customWidth="1"/>
  </cols>
  <sheetData>
    <row r="1" spans="1:12" x14ac:dyDescent="0.35">
      <c r="A1" s="1" t="s">
        <v>74</v>
      </c>
      <c r="B1" s="1" t="s">
        <v>75</v>
      </c>
      <c r="C1" s="1" t="s">
        <v>76</v>
      </c>
      <c r="D1" s="1" t="s">
        <v>12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</row>
    <row r="2" spans="1:12" x14ac:dyDescent="0.35">
      <c r="A2" s="1">
        <v>1</v>
      </c>
      <c r="B2" s="3">
        <v>46184</v>
      </c>
      <c r="C2" s="1" t="s">
        <v>85</v>
      </c>
      <c r="D2" s="1" t="s">
        <v>14</v>
      </c>
      <c r="E2" s="1" t="s">
        <v>15</v>
      </c>
      <c r="F2" s="1" t="s">
        <v>16</v>
      </c>
      <c r="G2" s="7">
        <v>2</v>
      </c>
      <c r="H2" s="7">
        <v>0</v>
      </c>
      <c r="I2" s="1" t="b">
        <f>AND(ISNUMBER(Matches[[#This Row],[Team 1 Goals]]),ISNUMBER(Matches[[#This Row],[Team 2 Goals]]))</f>
        <v>1</v>
      </c>
      <c r="J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Mexico</v>
      </c>
      <c r="K2" s="1" t="s">
        <v>86</v>
      </c>
      <c r="L2" s="1"/>
    </row>
    <row r="3" spans="1:12" x14ac:dyDescent="0.35">
      <c r="A3" s="1">
        <v>2</v>
      </c>
      <c r="B3" s="3">
        <v>46184</v>
      </c>
      <c r="C3" s="1" t="s">
        <v>85</v>
      </c>
      <c r="D3" s="1" t="s">
        <v>14</v>
      </c>
      <c r="E3" s="1" t="s">
        <v>17</v>
      </c>
      <c r="F3" s="1" t="s">
        <v>18</v>
      </c>
      <c r="G3" s="7">
        <v>2</v>
      </c>
      <c r="H3" s="7">
        <v>1</v>
      </c>
      <c r="I3" s="1" t="b">
        <f>AND(ISNUMBER(Matches[[#This Row],[Team 1 Goals]]),ISNUMBER(Matches[[#This Row],[Team 2 Goals]]))</f>
        <v>1</v>
      </c>
      <c r="J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Korea Republic</v>
      </c>
      <c r="K3" s="1" t="s">
        <v>87</v>
      </c>
      <c r="L3" s="1"/>
    </row>
    <row r="4" spans="1:12" x14ac:dyDescent="0.35">
      <c r="A4" s="1">
        <v>3</v>
      </c>
      <c r="B4" s="3">
        <v>46185</v>
      </c>
      <c r="C4" s="1" t="s">
        <v>85</v>
      </c>
      <c r="D4" s="1" t="s">
        <v>19</v>
      </c>
      <c r="E4" s="1" t="s">
        <v>20</v>
      </c>
      <c r="F4" s="1" t="s">
        <v>21</v>
      </c>
      <c r="G4" s="7">
        <v>1</v>
      </c>
      <c r="H4" s="7">
        <v>1</v>
      </c>
      <c r="I4" s="1" t="b">
        <f>AND(ISNUMBER(Matches[[#This Row],[Team 1 Goals]]),ISNUMBER(Matches[[#This Row],[Team 2 Goals]]))</f>
        <v>1</v>
      </c>
      <c r="J4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4" s="1" t="s">
        <v>88</v>
      </c>
      <c r="L4" s="1"/>
    </row>
    <row r="5" spans="1:12" x14ac:dyDescent="0.35">
      <c r="A5" s="1">
        <v>4</v>
      </c>
      <c r="B5" s="3">
        <v>46185</v>
      </c>
      <c r="C5" s="1" t="s">
        <v>85</v>
      </c>
      <c r="D5" s="1" t="s">
        <v>29</v>
      </c>
      <c r="E5" s="1" t="s">
        <v>30</v>
      </c>
      <c r="F5" s="1" t="s">
        <v>31</v>
      </c>
      <c r="G5" s="7">
        <v>4</v>
      </c>
      <c r="H5" s="7">
        <v>1</v>
      </c>
      <c r="I5" s="1" t="b">
        <f>AND(ISNUMBER(Matches[[#This Row],[Team 1 Goals]]),ISNUMBER(Matches[[#This Row],[Team 2 Goals]]))</f>
        <v>1</v>
      </c>
      <c r="J5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USA</v>
      </c>
      <c r="K5" s="1" t="s">
        <v>89</v>
      </c>
      <c r="L5" s="1"/>
    </row>
    <row r="6" spans="1:12" x14ac:dyDescent="0.35">
      <c r="A6" s="1">
        <v>5</v>
      </c>
      <c r="B6" s="3">
        <v>46186</v>
      </c>
      <c r="C6" s="1" t="s">
        <v>85</v>
      </c>
      <c r="D6" s="1" t="s">
        <v>24</v>
      </c>
      <c r="E6" s="1" t="s">
        <v>25</v>
      </c>
      <c r="F6" s="1" t="s">
        <v>26</v>
      </c>
      <c r="G6" s="7">
        <v>0</v>
      </c>
      <c r="H6" s="7">
        <v>1</v>
      </c>
      <c r="I6" s="1" t="b">
        <f>AND(ISNUMBER(Matches[[#This Row],[Team 1 Goals]]),ISNUMBER(Matches[[#This Row],[Team 2 Goals]]))</f>
        <v>1</v>
      </c>
      <c r="J6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Scotland</v>
      </c>
      <c r="K6" s="1" t="s">
        <v>90</v>
      </c>
      <c r="L6" s="1"/>
    </row>
    <row r="7" spans="1:12" x14ac:dyDescent="0.35">
      <c r="A7" s="1">
        <v>6</v>
      </c>
      <c r="B7" s="3">
        <v>46186</v>
      </c>
      <c r="C7" s="1" t="s">
        <v>85</v>
      </c>
      <c r="D7" s="1" t="s">
        <v>29</v>
      </c>
      <c r="E7" s="1" t="s">
        <v>32</v>
      </c>
      <c r="F7" s="1" t="s">
        <v>33</v>
      </c>
      <c r="G7" s="7">
        <v>2</v>
      </c>
      <c r="H7" s="7">
        <v>0</v>
      </c>
      <c r="I7" s="1" t="b">
        <f>AND(ISNUMBER(Matches[[#This Row],[Team 1 Goals]]),ISNUMBER(Matches[[#This Row],[Team 2 Goals]]))</f>
        <v>1</v>
      </c>
      <c r="J7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Australia</v>
      </c>
      <c r="K7" s="1" t="s">
        <v>91</v>
      </c>
      <c r="L7" s="1"/>
    </row>
    <row r="8" spans="1:12" x14ac:dyDescent="0.35">
      <c r="A8" s="1">
        <v>7</v>
      </c>
      <c r="B8" s="3">
        <v>46186</v>
      </c>
      <c r="C8" s="1" t="s">
        <v>85</v>
      </c>
      <c r="D8" s="1" t="s">
        <v>24</v>
      </c>
      <c r="E8" s="1" t="s">
        <v>27</v>
      </c>
      <c r="F8" s="1" t="s">
        <v>28</v>
      </c>
      <c r="G8" s="7">
        <v>1</v>
      </c>
      <c r="H8" s="7">
        <v>1</v>
      </c>
      <c r="I8" s="1" t="b">
        <f>AND(ISNUMBER(Matches[[#This Row],[Team 1 Goals]]),ISNUMBER(Matches[[#This Row],[Team 2 Goals]]))</f>
        <v>1</v>
      </c>
      <c r="J8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8" s="1" t="s">
        <v>92</v>
      </c>
      <c r="L8" s="1"/>
    </row>
    <row r="9" spans="1:12" x14ac:dyDescent="0.35">
      <c r="A9" s="1">
        <v>8</v>
      </c>
      <c r="B9" s="3">
        <v>46186</v>
      </c>
      <c r="C9" s="1" t="s">
        <v>85</v>
      </c>
      <c r="D9" s="1" t="s">
        <v>19</v>
      </c>
      <c r="E9" s="1" t="s">
        <v>22</v>
      </c>
      <c r="F9" s="1" t="s">
        <v>23</v>
      </c>
      <c r="G9" s="7">
        <v>1</v>
      </c>
      <c r="H9" s="7">
        <v>1</v>
      </c>
      <c r="I9" s="1" t="b">
        <f>AND(ISNUMBER(Matches[[#This Row],[Team 1 Goals]]),ISNUMBER(Matches[[#This Row],[Team 2 Goals]]))</f>
        <v>1</v>
      </c>
      <c r="J9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9" s="1" t="s">
        <v>93</v>
      </c>
      <c r="L9" s="1"/>
    </row>
    <row r="10" spans="1:12" x14ac:dyDescent="0.35">
      <c r="A10" s="1">
        <v>9</v>
      </c>
      <c r="B10" s="3">
        <v>46187</v>
      </c>
      <c r="C10" s="1" t="s">
        <v>85</v>
      </c>
      <c r="D10" s="1" t="s">
        <v>34</v>
      </c>
      <c r="E10" s="1" t="s">
        <v>35</v>
      </c>
      <c r="F10" s="1" t="s">
        <v>36</v>
      </c>
      <c r="G10" s="7">
        <v>1</v>
      </c>
      <c r="H10" s="7">
        <v>0</v>
      </c>
      <c r="I10" s="1" t="b">
        <f>AND(ISNUMBER(Matches[[#This Row],[Team 1 Goals]]),ISNUMBER(Matches[[#This Row],[Team 2 Goals]]))</f>
        <v>1</v>
      </c>
      <c r="J10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Côte d'Ivoire</v>
      </c>
      <c r="K10" s="1" t="s">
        <v>94</v>
      </c>
      <c r="L10" s="1"/>
    </row>
    <row r="11" spans="1:12" x14ac:dyDescent="0.35">
      <c r="A11" s="1">
        <v>10</v>
      </c>
      <c r="B11" s="3">
        <v>46187</v>
      </c>
      <c r="C11" s="1" t="s">
        <v>85</v>
      </c>
      <c r="D11" s="1" t="s">
        <v>34</v>
      </c>
      <c r="E11" s="1" t="s">
        <v>37</v>
      </c>
      <c r="F11" s="1" t="s">
        <v>38</v>
      </c>
      <c r="G11" s="7">
        <v>7</v>
      </c>
      <c r="H11" s="7">
        <v>1</v>
      </c>
      <c r="I11" s="1" t="b">
        <f>AND(ISNUMBER(Matches[[#This Row],[Team 1 Goals]]),ISNUMBER(Matches[[#This Row],[Team 2 Goals]]))</f>
        <v>1</v>
      </c>
      <c r="J11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Germany</v>
      </c>
      <c r="K11" s="1" t="s">
        <v>95</v>
      </c>
      <c r="L11" s="1"/>
    </row>
    <row r="12" spans="1:12" x14ac:dyDescent="0.35">
      <c r="A12" s="1">
        <v>11</v>
      </c>
      <c r="B12" s="3">
        <v>46187</v>
      </c>
      <c r="C12" s="1" t="s">
        <v>85</v>
      </c>
      <c r="D12" s="1" t="s">
        <v>39</v>
      </c>
      <c r="E12" s="1" t="s">
        <v>40</v>
      </c>
      <c r="F12" s="1" t="s">
        <v>41</v>
      </c>
      <c r="G12" s="7">
        <v>2</v>
      </c>
      <c r="H12" s="7">
        <v>2</v>
      </c>
      <c r="I12" s="1" t="b">
        <f>AND(ISNUMBER(Matches[[#This Row],[Team 1 Goals]]),ISNUMBER(Matches[[#This Row],[Team 2 Goals]]))</f>
        <v>1</v>
      </c>
      <c r="J1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12" s="1" t="s">
        <v>96</v>
      </c>
      <c r="L12" s="1"/>
    </row>
    <row r="13" spans="1:12" x14ac:dyDescent="0.35">
      <c r="A13" s="1">
        <v>12</v>
      </c>
      <c r="B13" s="3">
        <v>46187</v>
      </c>
      <c r="C13" s="1" t="s">
        <v>85</v>
      </c>
      <c r="D13" s="1" t="s">
        <v>39</v>
      </c>
      <c r="E13" s="1" t="s">
        <v>42</v>
      </c>
      <c r="F13" s="1" t="s">
        <v>43</v>
      </c>
      <c r="G13" s="7">
        <v>5</v>
      </c>
      <c r="H13" s="7">
        <v>1</v>
      </c>
      <c r="I13" s="1" t="b">
        <f>AND(ISNUMBER(Matches[[#This Row],[Team 1 Goals]]),ISNUMBER(Matches[[#This Row],[Team 2 Goals]]))</f>
        <v>1</v>
      </c>
      <c r="J1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Sweden</v>
      </c>
      <c r="K13" s="1" t="s">
        <v>97</v>
      </c>
      <c r="L13" s="1"/>
    </row>
    <row r="14" spans="1:12" x14ac:dyDescent="0.35">
      <c r="A14" s="1">
        <v>13</v>
      </c>
      <c r="B14" s="3">
        <v>46188</v>
      </c>
      <c r="C14" s="1" t="s">
        <v>85</v>
      </c>
      <c r="D14" s="1" t="s">
        <v>49</v>
      </c>
      <c r="E14" s="1" t="s">
        <v>50</v>
      </c>
      <c r="F14" s="1" t="s">
        <v>51</v>
      </c>
      <c r="G14" s="7">
        <v>1</v>
      </c>
      <c r="H14" s="7">
        <v>1</v>
      </c>
      <c r="I14" s="1" t="b">
        <f>AND(ISNUMBER(Matches[[#This Row],[Team 1 Goals]]),ISNUMBER(Matches[[#This Row],[Team 2 Goals]]))</f>
        <v>1</v>
      </c>
      <c r="J14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14" s="1" t="s">
        <v>98</v>
      </c>
      <c r="L14" s="1"/>
    </row>
    <row r="15" spans="1:12" x14ac:dyDescent="0.35">
      <c r="A15" s="1">
        <v>14</v>
      </c>
      <c r="B15" s="3">
        <v>46188</v>
      </c>
      <c r="C15" s="1" t="s">
        <v>85</v>
      </c>
      <c r="D15" s="1" t="s">
        <v>49</v>
      </c>
      <c r="E15" s="1" t="s">
        <v>52</v>
      </c>
      <c r="F15" s="1" t="s">
        <v>53</v>
      </c>
      <c r="G15" s="7">
        <v>0</v>
      </c>
      <c r="H15" s="7">
        <v>0</v>
      </c>
      <c r="I15" s="1" t="b">
        <f>AND(ISNUMBER(Matches[[#This Row],[Team 1 Goals]]),ISNUMBER(Matches[[#This Row],[Team 2 Goals]]))</f>
        <v>1</v>
      </c>
      <c r="J15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15" s="1" t="s">
        <v>99</v>
      </c>
      <c r="L15" s="1"/>
    </row>
    <row r="16" spans="1:12" x14ac:dyDescent="0.35">
      <c r="A16" s="1">
        <v>15</v>
      </c>
      <c r="B16" s="3">
        <v>46188</v>
      </c>
      <c r="C16" s="1" t="s">
        <v>85</v>
      </c>
      <c r="D16" s="1" t="s">
        <v>44</v>
      </c>
      <c r="E16" s="1" t="s">
        <v>45</v>
      </c>
      <c r="F16" s="1" t="s">
        <v>46</v>
      </c>
      <c r="G16" s="7">
        <v>2</v>
      </c>
      <c r="H16" s="7">
        <v>2</v>
      </c>
      <c r="I16" s="1" t="b">
        <f>AND(ISNUMBER(Matches[[#This Row],[Team 1 Goals]]),ISNUMBER(Matches[[#This Row],[Team 2 Goals]]))</f>
        <v>1</v>
      </c>
      <c r="J16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16" s="1" t="s">
        <v>89</v>
      </c>
      <c r="L16" s="1"/>
    </row>
    <row r="17" spans="1:12" x14ac:dyDescent="0.35">
      <c r="A17" s="1">
        <v>16</v>
      </c>
      <c r="B17" s="3">
        <v>46188</v>
      </c>
      <c r="C17" s="1" t="s">
        <v>85</v>
      </c>
      <c r="D17" s="1" t="s">
        <v>44</v>
      </c>
      <c r="E17" s="1" t="s">
        <v>47</v>
      </c>
      <c r="F17" s="1" t="s">
        <v>48</v>
      </c>
      <c r="G17" s="7">
        <v>1</v>
      </c>
      <c r="H17" s="7">
        <v>1</v>
      </c>
      <c r="I17" s="1" t="b">
        <f>AND(ISNUMBER(Matches[[#This Row],[Team 1 Goals]]),ISNUMBER(Matches[[#This Row],[Team 2 Goals]]))</f>
        <v>1</v>
      </c>
      <c r="J17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17" s="1" t="s">
        <v>100</v>
      </c>
      <c r="L17" s="1"/>
    </row>
    <row r="18" spans="1:12" x14ac:dyDescent="0.35">
      <c r="A18" s="1">
        <v>17</v>
      </c>
      <c r="B18" s="3">
        <v>46189</v>
      </c>
      <c r="C18" s="1" t="s">
        <v>85</v>
      </c>
      <c r="D18" s="1" t="s">
        <v>54</v>
      </c>
      <c r="E18" s="1" t="s">
        <v>55</v>
      </c>
      <c r="F18" s="1" t="s">
        <v>56</v>
      </c>
      <c r="G18" s="7">
        <v>3</v>
      </c>
      <c r="H18" s="7">
        <v>1</v>
      </c>
      <c r="I18" s="1" t="b">
        <f>AND(ISNUMBER(Matches[[#This Row],[Team 1 Goals]]),ISNUMBER(Matches[[#This Row],[Team 2 Goals]]))</f>
        <v>1</v>
      </c>
      <c r="J18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France</v>
      </c>
      <c r="K18" s="1" t="s">
        <v>92</v>
      </c>
      <c r="L18" s="1"/>
    </row>
    <row r="19" spans="1:12" x14ac:dyDescent="0.35">
      <c r="A19" s="1">
        <v>18</v>
      </c>
      <c r="B19" s="3">
        <v>46189</v>
      </c>
      <c r="C19" s="1" t="s">
        <v>85</v>
      </c>
      <c r="D19" s="1" t="s">
        <v>54</v>
      </c>
      <c r="E19" s="1" t="s">
        <v>57</v>
      </c>
      <c r="F19" s="1" t="s">
        <v>58</v>
      </c>
      <c r="G19" s="7">
        <v>1</v>
      </c>
      <c r="H19" s="7">
        <v>4</v>
      </c>
      <c r="I19" s="1" t="b">
        <f>AND(ISNUMBER(Matches[[#This Row],[Team 1 Goals]]),ISNUMBER(Matches[[#This Row],[Team 2 Goals]]))</f>
        <v>1</v>
      </c>
      <c r="J19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Norway</v>
      </c>
      <c r="K19" s="1" t="s">
        <v>90</v>
      </c>
      <c r="L19" s="1"/>
    </row>
    <row r="20" spans="1:12" x14ac:dyDescent="0.35">
      <c r="A20" s="1">
        <v>19</v>
      </c>
      <c r="B20" s="3">
        <v>46189</v>
      </c>
      <c r="C20" s="1" t="s">
        <v>85</v>
      </c>
      <c r="D20" s="1" t="s">
        <v>59</v>
      </c>
      <c r="E20" s="1" t="s">
        <v>60</v>
      </c>
      <c r="F20" s="1" t="s">
        <v>61</v>
      </c>
      <c r="G20" s="7">
        <v>3</v>
      </c>
      <c r="H20" s="7">
        <v>0</v>
      </c>
      <c r="I20" s="1" t="b">
        <f>AND(ISNUMBER(Matches[[#This Row],[Team 1 Goals]]),ISNUMBER(Matches[[#This Row],[Team 2 Goals]]))</f>
        <v>1</v>
      </c>
      <c r="J20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Argentina</v>
      </c>
      <c r="K20" s="1" t="s">
        <v>101</v>
      </c>
      <c r="L20" s="1"/>
    </row>
    <row r="21" spans="1:12" x14ac:dyDescent="0.35">
      <c r="A21" s="1">
        <v>20</v>
      </c>
      <c r="B21" s="3">
        <v>46189</v>
      </c>
      <c r="C21" s="1" t="s">
        <v>85</v>
      </c>
      <c r="D21" s="1" t="s">
        <v>59</v>
      </c>
      <c r="E21" s="1" t="s">
        <v>62</v>
      </c>
      <c r="F21" s="1" t="s">
        <v>63</v>
      </c>
      <c r="G21" s="7">
        <v>3</v>
      </c>
      <c r="H21" s="7">
        <v>1</v>
      </c>
      <c r="I21" s="1" t="b">
        <f>AND(ISNUMBER(Matches[[#This Row],[Team 1 Goals]]),ISNUMBER(Matches[[#This Row],[Team 2 Goals]]))</f>
        <v>1</v>
      </c>
      <c r="J21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Austria</v>
      </c>
      <c r="K21" s="1" t="s">
        <v>93</v>
      </c>
      <c r="L21" s="1"/>
    </row>
    <row r="22" spans="1:12" x14ac:dyDescent="0.35">
      <c r="A22" s="1">
        <v>21</v>
      </c>
      <c r="B22" s="3">
        <v>46190</v>
      </c>
      <c r="C22" s="1" t="s">
        <v>85</v>
      </c>
      <c r="D22" s="1" t="s">
        <v>69</v>
      </c>
      <c r="E22" s="1" t="s">
        <v>70</v>
      </c>
      <c r="F22" s="1" t="s">
        <v>71</v>
      </c>
      <c r="G22" s="7">
        <v>1</v>
      </c>
      <c r="H22" s="7">
        <v>0</v>
      </c>
      <c r="I22" s="1" t="b">
        <f>AND(ISNUMBER(Matches[[#This Row],[Team 1 Goals]]),ISNUMBER(Matches[[#This Row],[Team 2 Goals]]))</f>
        <v>1</v>
      </c>
      <c r="J2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Ghana</v>
      </c>
      <c r="K22" s="1" t="s">
        <v>88</v>
      </c>
      <c r="L22" s="1"/>
    </row>
    <row r="23" spans="1:12" x14ac:dyDescent="0.35">
      <c r="A23" s="1">
        <v>22</v>
      </c>
      <c r="B23" s="3">
        <v>46190</v>
      </c>
      <c r="C23" s="1" t="s">
        <v>85</v>
      </c>
      <c r="D23" s="1" t="s">
        <v>69</v>
      </c>
      <c r="E23" s="1" t="s">
        <v>72</v>
      </c>
      <c r="F23" s="1" t="s">
        <v>73</v>
      </c>
      <c r="G23" s="7">
        <v>4</v>
      </c>
      <c r="H23" s="7">
        <v>2</v>
      </c>
      <c r="I23" s="1" t="b">
        <f>AND(ISNUMBER(Matches[[#This Row],[Team 1 Goals]]),ISNUMBER(Matches[[#This Row],[Team 2 Goals]]))</f>
        <v>1</v>
      </c>
      <c r="J2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England</v>
      </c>
      <c r="K23" s="1" t="s">
        <v>96</v>
      </c>
      <c r="L23" s="1"/>
    </row>
    <row r="24" spans="1:12" x14ac:dyDescent="0.35">
      <c r="A24" s="1">
        <v>23</v>
      </c>
      <c r="B24" s="3">
        <v>46190</v>
      </c>
      <c r="C24" s="1" t="s">
        <v>85</v>
      </c>
      <c r="D24" s="1" t="s">
        <v>64</v>
      </c>
      <c r="E24" s="1" t="s">
        <v>65</v>
      </c>
      <c r="F24" s="1" t="s">
        <v>66</v>
      </c>
      <c r="G24" s="7">
        <v>1</v>
      </c>
      <c r="H24" s="7">
        <v>1</v>
      </c>
      <c r="I24" s="1" t="b">
        <f>AND(ISNUMBER(Matches[[#This Row],[Team 1 Goals]]),ISNUMBER(Matches[[#This Row],[Team 2 Goals]]))</f>
        <v>1</v>
      </c>
      <c r="J24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24" s="1" t="s">
        <v>95</v>
      </c>
      <c r="L24" s="1"/>
    </row>
    <row r="25" spans="1:12" x14ac:dyDescent="0.35">
      <c r="A25" s="1">
        <v>24</v>
      </c>
      <c r="B25" s="3">
        <v>46190</v>
      </c>
      <c r="C25" s="1" t="s">
        <v>85</v>
      </c>
      <c r="D25" s="1" t="s">
        <v>64</v>
      </c>
      <c r="E25" s="1" t="s">
        <v>67</v>
      </c>
      <c r="F25" s="1" t="s">
        <v>68</v>
      </c>
      <c r="G25" s="7">
        <v>1</v>
      </c>
      <c r="H25" s="7">
        <v>3</v>
      </c>
      <c r="I25" s="1" t="b">
        <f>AND(ISNUMBER(Matches[[#This Row],[Team 1 Goals]]),ISNUMBER(Matches[[#This Row],[Team 2 Goals]]))</f>
        <v>1</v>
      </c>
      <c r="J25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Colombia</v>
      </c>
      <c r="K25" s="1" t="s">
        <v>86</v>
      </c>
      <c r="L25" s="1"/>
    </row>
    <row r="26" spans="1:12" x14ac:dyDescent="0.35">
      <c r="A26" s="1">
        <v>25</v>
      </c>
      <c r="B26" s="3">
        <v>46191</v>
      </c>
      <c r="C26" s="1" t="s">
        <v>85</v>
      </c>
      <c r="D26" s="1" t="s">
        <v>14</v>
      </c>
      <c r="E26" s="1" t="s">
        <v>18</v>
      </c>
      <c r="F26" s="1" t="s">
        <v>16</v>
      </c>
      <c r="G26" s="7">
        <v>1</v>
      </c>
      <c r="H26" s="7">
        <v>1</v>
      </c>
      <c r="I26" s="1" t="b">
        <f>AND(ISNUMBER(Matches[[#This Row],[Team 1 Goals]]),ISNUMBER(Matches[[#This Row],[Team 2 Goals]]))</f>
        <v>1</v>
      </c>
      <c r="J26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26" s="1" t="s">
        <v>99</v>
      </c>
      <c r="L26" s="1"/>
    </row>
    <row r="27" spans="1:12" x14ac:dyDescent="0.35">
      <c r="A27" s="1">
        <v>26</v>
      </c>
      <c r="B27" s="3">
        <v>46191</v>
      </c>
      <c r="C27" s="1" t="s">
        <v>85</v>
      </c>
      <c r="D27" s="1" t="s">
        <v>19</v>
      </c>
      <c r="E27" s="1" t="s">
        <v>23</v>
      </c>
      <c r="F27" s="1" t="s">
        <v>21</v>
      </c>
      <c r="G27" s="7">
        <v>4</v>
      </c>
      <c r="H27" s="7">
        <v>1</v>
      </c>
      <c r="I27" s="1" t="b">
        <f>AND(ISNUMBER(Matches[[#This Row],[Team 1 Goals]]),ISNUMBER(Matches[[#This Row],[Team 2 Goals]]))</f>
        <v>1</v>
      </c>
      <c r="J27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Switzerland</v>
      </c>
      <c r="K27" s="1" t="s">
        <v>89</v>
      </c>
      <c r="L27" s="1"/>
    </row>
    <row r="28" spans="1:12" x14ac:dyDescent="0.35">
      <c r="A28" s="1">
        <v>27</v>
      </c>
      <c r="B28" s="3">
        <v>46191</v>
      </c>
      <c r="C28" s="1" t="s">
        <v>85</v>
      </c>
      <c r="D28" s="1" t="s">
        <v>19</v>
      </c>
      <c r="E28" s="1" t="s">
        <v>20</v>
      </c>
      <c r="F28" s="1" t="s">
        <v>22</v>
      </c>
      <c r="G28" s="7">
        <v>6</v>
      </c>
      <c r="H28" s="7">
        <v>0</v>
      </c>
      <c r="I28" s="1" t="b">
        <f>AND(ISNUMBER(Matches[[#This Row],[Team 1 Goals]]),ISNUMBER(Matches[[#This Row],[Team 2 Goals]]))</f>
        <v>1</v>
      </c>
      <c r="J28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Canada</v>
      </c>
      <c r="K28" s="1" t="s">
        <v>91</v>
      </c>
      <c r="L28" s="1"/>
    </row>
    <row r="29" spans="1:12" x14ac:dyDescent="0.35">
      <c r="A29" s="1">
        <v>28</v>
      </c>
      <c r="B29" s="3">
        <v>46191</v>
      </c>
      <c r="C29" s="1" t="s">
        <v>85</v>
      </c>
      <c r="D29" s="1" t="s">
        <v>14</v>
      </c>
      <c r="E29" s="1" t="s">
        <v>15</v>
      </c>
      <c r="F29" s="1" t="s">
        <v>17</v>
      </c>
      <c r="G29" s="7">
        <v>1</v>
      </c>
      <c r="H29" s="7">
        <v>0</v>
      </c>
      <c r="I29" s="1" t="b">
        <f>AND(ISNUMBER(Matches[[#This Row],[Team 1 Goals]]),ISNUMBER(Matches[[#This Row],[Team 2 Goals]]))</f>
        <v>1</v>
      </c>
      <c r="J29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Mexico</v>
      </c>
      <c r="K29" s="1" t="s">
        <v>87</v>
      </c>
      <c r="L29" s="1"/>
    </row>
    <row r="30" spans="1:12" x14ac:dyDescent="0.35">
      <c r="A30" s="1">
        <v>29</v>
      </c>
      <c r="B30" s="3">
        <v>46192</v>
      </c>
      <c r="C30" s="1" t="s">
        <v>85</v>
      </c>
      <c r="D30" s="1" t="s">
        <v>24</v>
      </c>
      <c r="E30" s="1" t="s">
        <v>27</v>
      </c>
      <c r="F30" s="1" t="s">
        <v>25</v>
      </c>
      <c r="G30" s="7">
        <v>3</v>
      </c>
      <c r="H30" s="7">
        <v>0</v>
      </c>
      <c r="I30" s="1" t="b">
        <f>AND(ISNUMBER(Matches[[#This Row],[Team 1 Goals]]),ISNUMBER(Matches[[#This Row],[Team 2 Goals]]))</f>
        <v>1</v>
      </c>
      <c r="J30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Brazil</v>
      </c>
      <c r="K30" s="1" t="s">
        <v>94</v>
      </c>
      <c r="L30" s="1"/>
    </row>
    <row r="31" spans="1:12" x14ac:dyDescent="0.35">
      <c r="A31" s="1">
        <v>30</v>
      </c>
      <c r="B31" s="3">
        <v>46192</v>
      </c>
      <c r="C31" s="1" t="s">
        <v>85</v>
      </c>
      <c r="D31" s="1" t="s">
        <v>24</v>
      </c>
      <c r="E31" s="1" t="s">
        <v>26</v>
      </c>
      <c r="F31" s="1" t="s">
        <v>28</v>
      </c>
      <c r="G31" s="7">
        <v>0</v>
      </c>
      <c r="H31" s="7">
        <v>1</v>
      </c>
      <c r="I31" s="1" t="b">
        <f>AND(ISNUMBER(Matches[[#This Row],[Team 1 Goals]]),ISNUMBER(Matches[[#This Row],[Team 2 Goals]]))</f>
        <v>1</v>
      </c>
      <c r="J31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Morocco</v>
      </c>
      <c r="K31" s="1" t="s">
        <v>90</v>
      </c>
      <c r="L31" s="1"/>
    </row>
    <row r="32" spans="1:12" x14ac:dyDescent="0.35">
      <c r="A32" s="1">
        <v>31</v>
      </c>
      <c r="B32" s="3">
        <v>46192</v>
      </c>
      <c r="C32" s="1" t="s">
        <v>85</v>
      </c>
      <c r="D32" s="1" t="s">
        <v>29</v>
      </c>
      <c r="E32" s="1" t="s">
        <v>33</v>
      </c>
      <c r="F32" s="1" t="s">
        <v>31</v>
      </c>
      <c r="G32" s="7">
        <v>0</v>
      </c>
      <c r="H32" s="7">
        <v>1</v>
      </c>
      <c r="I32" s="1" t="b">
        <f>AND(ISNUMBER(Matches[[#This Row],[Team 1 Goals]]),ISNUMBER(Matches[[#This Row],[Team 2 Goals]]))</f>
        <v>1</v>
      </c>
      <c r="J3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Paraguay</v>
      </c>
      <c r="K32" s="1" t="s">
        <v>93</v>
      </c>
      <c r="L32" s="1"/>
    </row>
    <row r="33" spans="1:12" x14ac:dyDescent="0.35">
      <c r="A33" s="1">
        <v>32</v>
      </c>
      <c r="B33" s="3">
        <v>46192</v>
      </c>
      <c r="C33" s="1" t="s">
        <v>85</v>
      </c>
      <c r="D33" s="1" t="s">
        <v>29</v>
      </c>
      <c r="E33" s="1" t="s">
        <v>30</v>
      </c>
      <c r="F33" s="1" t="s">
        <v>32</v>
      </c>
      <c r="G33" s="7">
        <v>2</v>
      </c>
      <c r="H33" s="7">
        <v>0</v>
      </c>
      <c r="I33" s="1" t="b">
        <f>AND(ISNUMBER(Matches[[#This Row],[Team 1 Goals]]),ISNUMBER(Matches[[#This Row],[Team 2 Goals]]))</f>
        <v>1</v>
      </c>
      <c r="J3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USA</v>
      </c>
      <c r="K33" s="1" t="s">
        <v>100</v>
      </c>
      <c r="L33" s="1"/>
    </row>
    <row r="34" spans="1:12" x14ac:dyDescent="0.35">
      <c r="A34" s="1">
        <v>33</v>
      </c>
      <c r="B34" s="3">
        <v>46193</v>
      </c>
      <c r="C34" s="1" t="s">
        <v>85</v>
      </c>
      <c r="D34" s="1" t="s">
        <v>34</v>
      </c>
      <c r="E34" s="1" t="s">
        <v>37</v>
      </c>
      <c r="F34" s="1" t="s">
        <v>35</v>
      </c>
      <c r="G34" s="7">
        <v>2</v>
      </c>
      <c r="H34" s="7">
        <v>1</v>
      </c>
      <c r="I34" s="1" t="b">
        <f>AND(ISNUMBER(Matches[[#This Row],[Team 1 Goals]]),ISNUMBER(Matches[[#This Row],[Team 2 Goals]]))</f>
        <v>1</v>
      </c>
      <c r="J34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Germany</v>
      </c>
      <c r="K34" s="1" t="s">
        <v>88</v>
      </c>
      <c r="L34" s="1"/>
    </row>
    <row r="35" spans="1:12" x14ac:dyDescent="0.35">
      <c r="A35" s="1">
        <v>34</v>
      </c>
      <c r="B35" s="3">
        <v>46193</v>
      </c>
      <c r="C35" s="1" t="s">
        <v>85</v>
      </c>
      <c r="D35" s="1" t="s">
        <v>34</v>
      </c>
      <c r="E35" s="1" t="s">
        <v>36</v>
      </c>
      <c r="F35" s="1" t="s">
        <v>38</v>
      </c>
      <c r="G35" s="7">
        <v>0</v>
      </c>
      <c r="H35" s="7">
        <v>0</v>
      </c>
      <c r="I35" s="1" t="b">
        <f>AND(ISNUMBER(Matches[[#This Row],[Team 1 Goals]]),ISNUMBER(Matches[[#This Row],[Team 2 Goals]]))</f>
        <v>1</v>
      </c>
      <c r="J35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35" s="1" t="s">
        <v>101</v>
      </c>
      <c r="L35" s="1"/>
    </row>
    <row r="36" spans="1:12" x14ac:dyDescent="0.35">
      <c r="A36" s="1">
        <v>35</v>
      </c>
      <c r="B36" s="3">
        <v>46193</v>
      </c>
      <c r="C36" s="1" t="s">
        <v>85</v>
      </c>
      <c r="D36" s="1" t="s">
        <v>39</v>
      </c>
      <c r="E36" s="1" t="s">
        <v>40</v>
      </c>
      <c r="F36" s="1" t="s">
        <v>42</v>
      </c>
      <c r="G36" s="7">
        <v>5</v>
      </c>
      <c r="H36" s="7">
        <v>1</v>
      </c>
      <c r="I36" s="1" t="b">
        <f>AND(ISNUMBER(Matches[[#This Row],[Team 1 Goals]]),ISNUMBER(Matches[[#This Row],[Team 2 Goals]]))</f>
        <v>1</v>
      </c>
      <c r="J36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Netherlands</v>
      </c>
      <c r="K36" s="1" t="s">
        <v>95</v>
      </c>
      <c r="L36" s="1"/>
    </row>
    <row r="37" spans="1:12" x14ac:dyDescent="0.35">
      <c r="A37" s="1">
        <v>36</v>
      </c>
      <c r="B37" s="3">
        <v>46193</v>
      </c>
      <c r="C37" s="1" t="s">
        <v>85</v>
      </c>
      <c r="D37" s="1" t="s">
        <v>39</v>
      </c>
      <c r="E37" s="1" t="s">
        <v>43</v>
      </c>
      <c r="F37" s="1" t="s">
        <v>41</v>
      </c>
      <c r="G37" s="7">
        <v>0</v>
      </c>
      <c r="H37" s="7">
        <v>4</v>
      </c>
      <c r="I37" s="1" t="b">
        <f>AND(ISNUMBER(Matches[[#This Row],[Team 1 Goals]]),ISNUMBER(Matches[[#This Row],[Team 2 Goals]]))</f>
        <v>1</v>
      </c>
      <c r="J37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Japan</v>
      </c>
      <c r="K37" s="1" t="s">
        <v>97</v>
      </c>
      <c r="L37" s="1"/>
    </row>
    <row r="38" spans="1:12" x14ac:dyDescent="0.35">
      <c r="A38" s="1">
        <v>37</v>
      </c>
      <c r="B38" s="3">
        <v>46194</v>
      </c>
      <c r="C38" s="1" t="s">
        <v>85</v>
      </c>
      <c r="D38" s="1" t="s">
        <v>49</v>
      </c>
      <c r="E38" s="1" t="s">
        <v>51</v>
      </c>
      <c r="F38" s="1" t="s">
        <v>53</v>
      </c>
      <c r="G38" s="7">
        <v>2</v>
      </c>
      <c r="H38" s="7">
        <v>2</v>
      </c>
      <c r="I38" s="1" t="b">
        <f>AND(ISNUMBER(Matches[[#This Row],[Team 1 Goals]]),ISNUMBER(Matches[[#This Row],[Team 2 Goals]]))</f>
        <v>1</v>
      </c>
      <c r="J38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38" s="1" t="s">
        <v>98</v>
      </c>
      <c r="L38" s="1"/>
    </row>
    <row r="39" spans="1:12" x14ac:dyDescent="0.35">
      <c r="A39" s="1">
        <v>38</v>
      </c>
      <c r="B39" s="3">
        <v>46194</v>
      </c>
      <c r="C39" s="1" t="s">
        <v>85</v>
      </c>
      <c r="D39" s="1" t="s">
        <v>49</v>
      </c>
      <c r="E39" s="1" t="s">
        <v>52</v>
      </c>
      <c r="F39" s="1" t="s">
        <v>50</v>
      </c>
      <c r="G39" s="7">
        <v>4</v>
      </c>
      <c r="H39" s="7">
        <v>0</v>
      </c>
      <c r="I39" s="1" t="b">
        <f>AND(ISNUMBER(Matches[[#This Row],[Team 1 Goals]]),ISNUMBER(Matches[[#This Row],[Team 2 Goals]]))</f>
        <v>1</v>
      </c>
      <c r="J39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Spain</v>
      </c>
      <c r="K39" s="1" t="s">
        <v>99</v>
      </c>
      <c r="L39" s="1"/>
    </row>
    <row r="40" spans="1:12" x14ac:dyDescent="0.35">
      <c r="A40" s="1">
        <v>39</v>
      </c>
      <c r="B40" s="3">
        <v>46194</v>
      </c>
      <c r="C40" s="1" t="s">
        <v>85</v>
      </c>
      <c r="D40" s="1" t="s">
        <v>44</v>
      </c>
      <c r="E40" s="1" t="s">
        <v>47</v>
      </c>
      <c r="F40" s="1" t="s">
        <v>45</v>
      </c>
      <c r="G40" s="7">
        <v>0</v>
      </c>
      <c r="H40" s="7">
        <v>0</v>
      </c>
      <c r="I40" s="1" t="b">
        <f>AND(ISNUMBER(Matches[[#This Row],[Team 1 Goals]]),ISNUMBER(Matches[[#This Row],[Team 2 Goals]]))</f>
        <v>1</v>
      </c>
      <c r="J40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40" s="1" t="s">
        <v>89</v>
      </c>
      <c r="L40" s="1"/>
    </row>
    <row r="41" spans="1:12" x14ac:dyDescent="0.35">
      <c r="A41" s="1">
        <v>40</v>
      </c>
      <c r="B41" s="3">
        <v>46194</v>
      </c>
      <c r="C41" s="1" t="s">
        <v>85</v>
      </c>
      <c r="D41" s="1" t="s">
        <v>44</v>
      </c>
      <c r="E41" s="1" t="s">
        <v>46</v>
      </c>
      <c r="F41" s="1" t="s">
        <v>48</v>
      </c>
      <c r="G41" s="7">
        <v>1</v>
      </c>
      <c r="H41" s="7">
        <v>3</v>
      </c>
      <c r="I41" s="1" t="b">
        <f>AND(ISNUMBER(Matches[[#This Row],[Team 1 Goals]]),ISNUMBER(Matches[[#This Row],[Team 2 Goals]]))</f>
        <v>1</v>
      </c>
      <c r="J41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Egypt</v>
      </c>
      <c r="K41" s="1" t="s">
        <v>91</v>
      </c>
      <c r="L41" s="1"/>
    </row>
    <row r="42" spans="1:12" x14ac:dyDescent="0.35">
      <c r="A42" s="1">
        <v>41</v>
      </c>
      <c r="B42" s="3">
        <v>46195</v>
      </c>
      <c r="C42" s="1" t="s">
        <v>85</v>
      </c>
      <c r="D42" s="1" t="s">
        <v>54</v>
      </c>
      <c r="E42" s="1" t="s">
        <v>58</v>
      </c>
      <c r="F42" s="1" t="s">
        <v>56</v>
      </c>
      <c r="G42" s="7">
        <v>3</v>
      </c>
      <c r="H42" s="7">
        <v>2</v>
      </c>
      <c r="I42" s="1" t="b">
        <f>AND(ISNUMBER(Matches[[#This Row],[Team 1 Goals]]),ISNUMBER(Matches[[#This Row],[Team 2 Goals]]))</f>
        <v>1</v>
      </c>
      <c r="J4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Norway</v>
      </c>
      <c r="K42" s="1" t="s">
        <v>92</v>
      </c>
      <c r="L42" s="1"/>
    </row>
    <row r="43" spans="1:12" x14ac:dyDescent="0.35">
      <c r="A43" s="1">
        <v>42</v>
      </c>
      <c r="B43" s="3">
        <v>46195</v>
      </c>
      <c r="C43" s="1" t="s">
        <v>85</v>
      </c>
      <c r="D43" s="1" t="s">
        <v>54</v>
      </c>
      <c r="E43" s="1" t="s">
        <v>55</v>
      </c>
      <c r="F43" s="1" t="s">
        <v>57</v>
      </c>
      <c r="G43" s="7">
        <v>3</v>
      </c>
      <c r="H43" s="7">
        <v>0</v>
      </c>
      <c r="I43" s="1" t="b">
        <f>AND(ISNUMBER(Matches[[#This Row],[Team 1 Goals]]),ISNUMBER(Matches[[#This Row],[Team 2 Goals]]))</f>
        <v>1</v>
      </c>
      <c r="J4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France</v>
      </c>
      <c r="K43" s="1" t="s">
        <v>94</v>
      </c>
      <c r="L43" s="1"/>
    </row>
    <row r="44" spans="1:12" x14ac:dyDescent="0.35">
      <c r="A44" s="1">
        <v>43</v>
      </c>
      <c r="B44" s="3">
        <v>46195</v>
      </c>
      <c r="C44" s="1" t="s">
        <v>85</v>
      </c>
      <c r="D44" s="1" t="s">
        <v>59</v>
      </c>
      <c r="E44" s="1" t="s">
        <v>60</v>
      </c>
      <c r="F44" s="1" t="s">
        <v>62</v>
      </c>
      <c r="G44" s="7">
        <v>2</v>
      </c>
      <c r="H44" s="7">
        <v>0</v>
      </c>
      <c r="I44" s="1" t="b">
        <f>AND(ISNUMBER(Matches[[#This Row],[Team 1 Goals]]),ISNUMBER(Matches[[#This Row],[Team 2 Goals]]))</f>
        <v>1</v>
      </c>
      <c r="J44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Argentina</v>
      </c>
      <c r="K44" s="1" t="s">
        <v>96</v>
      </c>
      <c r="L44" s="1"/>
    </row>
    <row r="45" spans="1:12" x14ac:dyDescent="0.35">
      <c r="A45" s="1">
        <v>44</v>
      </c>
      <c r="B45" s="3">
        <v>46195</v>
      </c>
      <c r="C45" s="1" t="s">
        <v>85</v>
      </c>
      <c r="D45" s="1" t="s">
        <v>59</v>
      </c>
      <c r="E45" s="1" t="s">
        <v>63</v>
      </c>
      <c r="F45" s="1" t="s">
        <v>61</v>
      </c>
      <c r="G45" s="7">
        <v>1</v>
      </c>
      <c r="H45" s="7">
        <v>2</v>
      </c>
      <c r="I45" s="1" t="b">
        <f>AND(ISNUMBER(Matches[[#This Row],[Team 1 Goals]]),ISNUMBER(Matches[[#This Row],[Team 2 Goals]]))</f>
        <v>1</v>
      </c>
      <c r="J45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Algeria</v>
      </c>
      <c r="K45" s="1" t="s">
        <v>93</v>
      </c>
      <c r="L45" s="1"/>
    </row>
    <row r="46" spans="1:12" x14ac:dyDescent="0.35">
      <c r="A46" s="1">
        <v>45</v>
      </c>
      <c r="B46" s="3">
        <v>46196</v>
      </c>
      <c r="C46" s="1" t="s">
        <v>85</v>
      </c>
      <c r="D46" s="1" t="s">
        <v>69</v>
      </c>
      <c r="E46" s="1" t="s">
        <v>72</v>
      </c>
      <c r="F46" s="1" t="s">
        <v>70</v>
      </c>
      <c r="G46" s="7">
        <v>0</v>
      </c>
      <c r="H46" s="7">
        <v>0</v>
      </c>
      <c r="I46" s="1" t="b">
        <f>AND(ISNUMBER(Matches[[#This Row],[Team 1 Goals]]),ISNUMBER(Matches[[#This Row],[Team 2 Goals]]))</f>
        <v>1</v>
      </c>
      <c r="J46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46" s="1" t="s">
        <v>90</v>
      </c>
      <c r="L46" s="1"/>
    </row>
    <row r="47" spans="1:12" x14ac:dyDescent="0.35">
      <c r="A47" s="1">
        <v>46</v>
      </c>
      <c r="B47" s="3">
        <v>46196</v>
      </c>
      <c r="C47" s="1" t="s">
        <v>85</v>
      </c>
      <c r="D47" s="1" t="s">
        <v>69</v>
      </c>
      <c r="E47" s="1" t="s">
        <v>71</v>
      </c>
      <c r="F47" s="1" t="s">
        <v>73</v>
      </c>
      <c r="G47" s="7">
        <v>0</v>
      </c>
      <c r="H47" s="7">
        <v>1</v>
      </c>
      <c r="I47" s="1" t="b">
        <f>AND(ISNUMBER(Matches[[#This Row],[Team 1 Goals]]),ISNUMBER(Matches[[#This Row],[Team 2 Goals]]))</f>
        <v>1</v>
      </c>
      <c r="J47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Croatia</v>
      </c>
      <c r="K47" s="1" t="s">
        <v>88</v>
      </c>
      <c r="L47" s="1"/>
    </row>
    <row r="48" spans="1:12" x14ac:dyDescent="0.35">
      <c r="A48" s="1">
        <v>47</v>
      </c>
      <c r="B48" s="3">
        <v>46196</v>
      </c>
      <c r="C48" s="1" t="s">
        <v>85</v>
      </c>
      <c r="D48" s="1" t="s">
        <v>64</v>
      </c>
      <c r="E48" s="1" t="s">
        <v>65</v>
      </c>
      <c r="F48" s="1" t="s">
        <v>67</v>
      </c>
      <c r="G48" s="7">
        <v>5</v>
      </c>
      <c r="H48" s="7">
        <v>0</v>
      </c>
      <c r="I48" s="1" t="b">
        <f>AND(ISNUMBER(Matches[[#This Row],[Team 1 Goals]]),ISNUMBER(Matches[[#This Row],[Team 2 Goals]]))</f>
        <v>1</v>
      </c>
      <c r="J48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Portugal</v>
      </c>
      <c r="K48" s="1" t="s">
        <v>95</v>
      </c>
      <c r="L48" s="1"/>
    </row>
    <row r="49" spans="1:12" x14ac:dyDescent="0.35">
      <c r="A49" s="1">
        <v>48</v>
      </c>
      <c r="B49" s="3">
        <v>46196</v>
      </c>
      <c r="C49" s="1" t="s">
        <v>85</v>
      </c>
      <c r="D49" s="1" t="s">
        <v>64</v>
      </c>
      <c r="E49" s="1" t="s">
        <v>68</v>
      </c>
      <c r="F49" s="1" t="s">
        <v>66</v>
      </c>
      <c r="G49" s="7">
        <v>1</v>
      </c>
      <c r="H49" s="7">
        <v>0</v>
      </c>
      <c r="I49" s="1" t="b">
        <f>AND(ISNUMBER(Matches[[#This Row],[Team 1 Goals]]),ISNUMBER(Matches[[#This Row],[Team 2 Goals]]))</f>
        <v>1</v>
      </c>
      <c r="J49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Colombia</v>
      </c>
      <c r="K49" s="1" t="s">
        <v>87</v>
      </c>
      <c r="L49" s="1"/>
    </row>
    <row r="50" spans="1:12" x14ac:dyDescent="0.35">
      <c r="A50" s="1">
        <v>49</v>
      </c>
      <c r="B50" s="3">
        <v>46197</v>
      </c>
      <c r="C50" s="1" t="s">
        <v>85</v>
      </c>
      <c r="D50" s="1" t="s">
        <v>24</v>
      </c>
      <c r="E50" s="1" t="s">
        <v>26</v>
      </c>
      <c r="F50" s="1" t="s">
        <v>27</v>
      </c>
      <c r="G50" s="7">
        <v>0</v>
      </c>
      <c r="H50" s="7">
        <v>3</v>
      </c>
      <c r="I50" s="1" t="b">
        <f>AND(ISNUMBER(Matches[[#This Row],[Team 1 Goals]]),ISNUMBER(Matches[[#This Row],[Team 2 Goals]]))</f>
        <v>1</v>
      </c>
      <c r="J50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Brazil</v>
      </c>
      <c r="K50" s="1" t="s">
        <v>98</v>
      </c>
      <c r="L50" s="1"/>
    </row>
    <row r="51" spans="1:12" x14ac:dyDescent="0.35">
      <c r="A51" s="1">
        <v>50</v>
      </c>
      <c r="B51" s="3">
        <v>46197</v>
      </c>
      <c r="C51" s="1" t="s">
        <v>85</v>
      </c>
      <c r="D51" s="1" t="s">
        <v>24</v>
      </c>
      <c r="E51" s="1" t="s">
        <v>28</v>
      </c>
      <c r="F51" s="1" t="s">
        <v>25</v>
      </c>
      <c r="G51" s="7">
        <v>4</v>
      </c>
      <c r="H51" s="7">
        <v>2</v>
      </c>
      <c r="I51" s="1" t="b">
        <f>AND(ISNUMBER(Matches[[#This Row],[Team 1 Goals]]),ISNUMBER(Matches[[#This Row],[Team 2 Goals]]))</f>
        <v>1</v>
      </c>
      <c r="J51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Morocco</v>
      </c>
      <c r="K51" s="1" t="s">
        <v>99</v>
      </c>
      <c r="L51" s="1"/>
    </row>
    <row r="52" spans="1:12" x14ac:dyDescent="0.35">
      <c r="A52" s="1">
        <v>51</v>
      </c>
      <c r="B52" s="3">
        <v>46197</v>
      </c>
      <c r="C52" s="1" t="s">
        <v>85</v>
      </c>
      <c r="D52" s="1" t="s">
        <v>19</v>
      </c>
      <c r="E52" s="1" t="s">
        <v>23</v>
      </c>
      <c r="F52" s="1" t="s">
        <v>20</v>
      </c>
      <c r="G52" s="7">
        <v>2</v>
      </c>
      <c r="H52" s="7">
        <v>1</v>
      </c>
      <c r="I52" s="1" t="b">
        <f>AND(ISNUMBER(Matches[[#This Row],[Team 1 Goals]]),ISNUMBER(Matches[[#This Row],[Team 2 Goals]]))</f>
        <v>1</v>
      </c>
      <c r="J5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Switzerland</v>
      </c>
      <c r="K52" s="1" t="s">
        <v>91</v>
      </c>
      <c r="L52" s="1"/>
    </row>
    <row r="53" spans="1:12" x14ac:dyDescent="0.35">
      <c r="A53" s="1">
        <v>52</v>
      </c>
      <c r="B53" s="3">
        <v>46197</v>
      </c>
      <c r="C53" s="1" t="s">
        <v>85</v>
      </c>
      <c r="D53" s="1" t="s">
        <v>19</v>
      </c>
      <c r="E53" s="1" t="s">
        <v>21</v>
      </c>
      <c r="F53" s="1" t="s">
        <v>22</v>
      </c>
      <c r="G53" s="7">
        <v>3</v>
      </c>
      <c r="H53" s="7">
        <v>1</v>
      </c>
      <c r="I53" s="1" t="b">
        <f>AND(ISNUMBER(Matches[[#This Row],[Team 1 Goals]]),ISNUMBER(Matches[[#This Row],[Team 2 Goals]]))</f>
        <v>1</v>
      </c>
      <c r="J5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Bosnia and Herzegovina</v>
      </c>
      <c r="K53" s="1" t="s">
        <v>100</v>
      </c>
      <c r="L53" s="1"/>
    </row>
    <row r="54" spans="1:12" x14ac:dyDescent="0.35">
      <c r="A54" s="1">
        <v>53</v>
      </c>
      <c r="B54" s="3">
        <v>46197</v>
      </c>
      <c r="C54" s="1" t="s">
        <v>85</v>
      </c>
      <c r="D54" s="1" t="s">
        <v>14</v>
      </c>
      <c r="E54" s="1" t="s">
        <v>18</v>
      </c>
      <c r="F54" s="1" t="s">
        <v>15</v>
      </c>
      <c r="G54" s="7">
        <v>0</v>
      </c>
      <c r="H54" s="7">
        <v>3</v>
      </c>
      <c r="I54" s="1" t="b">
        <f>AND(ISNUMBER(Matches[[#This Row],[Team 1 Goals]]),ISNUMBER(Matches[[#This Row],[Team 2 Goals]]))</f>
        <v>1</v>
      </c>
      <c r="J54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Mexico</v>
      </c>
      <c r="K54" s="1" t="s">
        <v>86</v>
      </c>
      <c r="L54" s="1"/>
    </row>
    <row r="55" spans="1:12" x14ac:dyDescent="0.35">
      <c r="A55" s="1">
        <v>54</v>
      </c>
      <c r="B55" s="3">
        <v>46197</v>
      </c>
      <c r="C55" s="1" t="s">
        <v>85</v>
      </c>
      <c r="D55" s="1" t="s">
        <v>14</v>
      </c>
      <c r="E55" s="1" t="s">
        <v>16</v>
      </c>
      <c r="F55" s="1" t="s">
        <v>17</v>
      </c>
      <c r="G55" s="7">
        <v>1</v>
      </c>
      <c r="H55" s="7">
        <v>0</v>
      </c>
      <c r="I55" s="1" t="b">
        <f>AND(ISNUMBER(Matches[[#This Row],[Team 1 Goals]]),ISNUMBER(Matches[[#This Row],[Team 2 Goals]]))</f>
        <v>1</v>
      </c>
      <c r="J55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South Africa</v>
      </c>
      <c r="K55" s="1" t="s">
        <v>97</v>
      </c>
      <c r="L55" s="1"/>
    </row>
    <row r="56" spans="1:12" x14ac:dyDescent="0.35">
      <c r="A56" s="1">
        <v>55</v>
      </c>
      <c r="B56" s="3">
        <v>46198</v>
      </c>
      <c r="C56" s="1" t="s">
        <v>85</v>
      </c>
      <c r="D56" s="1" t="s">
        <v>34</v>
      </c>
      <c r="E56" s="1" t="s">
        <v>38</v>
      </c>
      <c r="F56" s="1" t="s">
        <v>35</v>
      </c>
      <c r="G56" s="7">
        <v>0</v>
      </c>
      <c r="H56" s="7">
        <v>2</v>
      </c>
      <c r="I56" s="1" t="b">
        <f>AND(ISNUMBER(Matches[[#This Row],[Team 1 Goals]]),ISNUMBER(Matches[[#This Row],[Team 2 Goals]]))</f>
        <v>1</v>
      </c>
      <c r="J56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Côte d'Ivoire</v>
      </c>
      <c r="K56" s="1" t="s">
        <v>94</v>
      </c>
      <c r="L56" s="1"/>
    </row>
    <row r="57" spans="1:12" x14ac:dyDescent="0.35">
      <c r="A57" s="1">
        <v>56</v>
      </c>
      <c r="B57" s="3">
        <v>46198</v>
      </c>
      <c r="C57" s="1" t="s">
        <v>85</v>
      </c>
      <c r="D57" s="1" t="s">
        <v>34</v>
      </c>
      <c r="E57" s="1" t="s">
        <v>36</v>
      </c>
      <c r="F57" s="1" t="s">
        <v>37</v>
      </c>
      <c r="G57" s="7">
        <v>2</v>
      </c>
      <c r="H57" s="7">
        <v>1</v>
      </c>
      <c r="I57" s="1" t="b">
        <f>AND(ISNUMBER(Matches[[#This Row],[Team 1 Goals]]),ISNUMBER(Matches[[#This Row],[Team 2 Goals]]))</f>
        <v>1</v>
      </c>
      <c r="J57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Ecuador</v>
      </c>
      <c r="K57" s="1" t="s">
        <v>92</v>
      </c>
      <c r="L57" s="1"/>
    </row>
    <row r="58" spans="1:12" x14ac:dyDescent="0.35">
      <c r="A58" s="1">
        <v>57</v>
      </c>
      <c r="B58" s="3">
        <v>46198</v>
      </c>
      <c r="C58" s="1" t="s">
        <v>85</v>
      </c>
      <c r="D58" s="1" t="s">
        <v>39</v>
      </c>
      <c r="E58" s="1" t="s">
        <v>41</v>
      </c>
      <c r="F58" s="1" t="s">
        <v>42</v>
      </c>
      <c r="G58" s="7">
        <v>1</v>
      </c>
      <c r="H58" s="7">
        <v>1</v>
      </c>
      <c r="I58" s="1" t="b">
        <f>AND(ISNUMBER(Matches[[#This Row],[Team 1 Goals]]),ISNUMBER(Matches[[#This Row],[Team 2 Goals]]))</f>
        <v>1</v>
      </c>
      <c r="J58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58" s="1" t="s">
        <v>96</v>
      </c>
      <c r="L58" s="1"/>
    </row>
    <row r="59" spans="1:12" x14ac:dyDescent="0.35">
      <c r="A59" s="1">
        <v>58</v>
      </c>
      <c r="B59" s="3">
        <v>46198</v>
      </c>
      <c r="C59" s="1" t="s">
        <v>85</v>
      </c>
      <c r="D59" s="1" t="s">
        <v>39</v>
      </c>
      <c r="E59" s="1" t="s">
        <v>43</v>
      </c>
      <c r="F59" s="1" t="s">
        <v>40</v>
      </c>
      <c r="G59" s="7">
        <v>1</v>
      </c>
      <c r="H59" s="7">
        <v>3</v>
      </c>
      <c r="I59" s="1" t="b">
        <f>AND(ISNUMBER(Matches[[#This Row],[Team 1 Goals]]),ISNUMBER(Matches[[#This Row],[Team 2 Goals]]))</f>
        <v>1</v>
      </c>
      <c r="J59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Netherlands</v>
      </c>
      <c r="K59" s="1" t="s">
        <v>101</v>
      </c>
      <c r="L59" s="1"/>
    </row>
    <row r="60" spans="1:12" x14ac:dyDescent="0.35">
      <c r="A60" s="1">
        <v>59</v>
      </c>
      <c r="B60" s="3">
        <v>46198</v>
      </c>
      <c r="C60" s="1" t="s">
        <v>85</v>
      </c>
      <c r="D60" s="1" t="s">
        <v>29</v>
      </c>
      <c r="E60" s="1" t="s">
        <v>33</v>
      </c>
      <c r="F60" s="1" t="s">
        <v>30</v>
      </c>
      <c r="G60" s="7">
        <v>3</v>
      </c>
      <c r="H60" s="7">
        <v>2</v>
      </c>
      <c r="I60" s="1" t="b">
        <f>AND(ISNUMBER(Matches[[#This Row],[Team 1 Goals]]),ISNUMBER(Matches[[#This Row],[Team 2 Goals]]))</f>
        <v>1</v>
      </c>
      <c r="J60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Türkiye</v>
      </c>
      <c r="K60" s="1" t="s">
        <v>89</v>
      </c>
      <c r="L60" s="1"/>
    </row>
    <row r="61" spans="1:12" x14ac:dyDescent="0.35">
      <c r="A61" s="1">
        <v>60</v>
      </c>
      <c r="B61" s="3">
        <v>46198</v>
      </c>
      <c r="C61" s="1" t="s">
        <v>85</v>
      </c>
      <c r="D61" s="1" t="s">
        <v>29</v>
      </c>
      <c r="E61" s="1" t="s">
        <v>31</v>
      </c>
      <c r="F61" s="1" t="s">
        <v>32</v>
      </c>
      <c r="G61" s="7">
        <v>0</v>
      </c>
      <c r="H61" s="7">
        <v>0</v>
      </c>
      <c r="I61" s="1" t="b">
        <f>AND(ISNUMBER(Matches[[#This Row],[Team 1 Goals]]),ISNUMBER(Matches[[#This Row],[Team 2 Goals]]))</f>
        <v>1</v>
      </c>
      <c r="J61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61" s="1" t="s">
        <v>93</v>
      </c>
      <c r="L61" s="1"/>
    </row>
    <row r="62" spans="1:12" x14ac:dyDescent="0.35">
      <c r="A62" s="1">
        <v>61</v>
      </c>
      <c r="B62" s="3">
        <v>46199</v>
      </c>
      <c r="C62" s="1" t="s">
        <v>85</v>
      </c>
      <c r="D62" s="1" t="s">
        <v>54</v>
      </c>
      <c r="E62" s="1" t="s">
        <v>58</v>
      </c>
      <c r="F62" s="1" t="s">
        <v>55</v>
      </c>
      <c r="G62" s="7">
        <v>1</v>
      </c>
      <c r="H62" s="7">
        <v>4</v>
      </c>
      <c r="I62" s="1" t="b">
        <f>AND(ISNUMBER(Matches[[#This Row],[Team 1 Goals]]),ISNUMBER(Matches[[#This Row],[Team 2 Goals]]))</f>
        <v>1</v>
      </c>
      <c r="J6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France</v>
      </c>
      <c r="K62" s="1" t="s">
        <v>90</v>
      </c>
      <c r="L62" s="1"/>
    </row>
    <row r="63" spans="1:12" x14ac:dyDescent="0.35">
      <c r="A63" s="1">
        <v>62</v>
      </c>
      <c r="B63" s="3">
        <v>46199</v>
      </c>
      <c r="C63" s="1" t="s">
        <v>85</v>
      </c>
      <c r="D63" s="1" t="s">
        <v>54</v>
      </c>
      <c r="E63" s="1" t="s">
        <v>56</v>
      </c>
      <c r="F63" s="1" t="s">
        <v>57</v>
      </c>
      <c r="G63" s="7">
        <v>5</v>
      </c>
      <c r="H63" s="7">
        <v>0</v>
      </c>
      <c r="I63" s="1" t="b">
        <f>AND(ISNUMBER(Matches[[#This Row],[Team 1 Goals]]),ISNUMBER(Matches[[#This Row],[Team 2 Goals]]))</f>
        <v>1</v>
      </c>
      <c r="J6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Senegal</v>
      </c>
      <c r="K63" s="1" t="s">
        <v>88</v>
      </c>
      <c r="L63" s="1"/>
    </row>
    <row r="64" spans="1:12" x14ac:dyDescent="0.35">
      <c r="A64" s="1">
        <v>63</v>
      </c>
      <c r="B64" s="3">
        <v>46199</v>
      </c>
      <c r="C64" s="1" t="s">
        <v>85</v>
      </c>
      <c r="D64" s="1" t="s">
        <v>44</v>
      </c>
      <c r="E64" s="1" t="s">
        <v>48</v>
      </c>
      <c r="F64" s="1" t="s">
        <v>45</v>
      </c>
      <c r="G64" s="7">
        <v>1</v>
      </c>
      <c r="H64" s="7">
        <v>1</v>
      </c>
      <c r="I64" s="1" t="b">
        <f>AND(ISNUMBER(Matches[[#This Row],[Team 1 Goals]]),ISNUMBER(Matches[[#This Row],[Team 2 Goals]]))</f>
        <v>1</v>
      </c>
      <c r="J64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64" s="1" t="s">
        <v>100</v>
      </c>
      <c r="L64" s="1"/>
    </row>
    <row r="65" spans="1:12" x14ac:dyDescent="0.35">
      <c r="A65" s="1">
        <v>64</v>
      </c>
      <c r="B65" s="3">
        <v>46199</v>
      </c>
      <c r="C65" s="1" t="s">
        <v>85</v>
      </c>
      <c r="D65" s="1" t="s">
        <v>44</v>
      </c>
      <c r="E65" s="1" t="s">
        <v>46</v>
      </c>
      <c r="F65" s="1" t="s">
        <v>47</v>
      </c>
      <c r="G65" s="7">
        <v>1</v>
      </c>
      <c r="H65" s="7">
        <v>5</v>
      </c>
      <c r="I65" s="1" t="b">
        <f>AND(ISNUMBER(Matches[[#This Row],[Team 1 Goals]]),ISNUMBER(Matches[[#This Row],[Team 2 Goals]]))</f>
        <v>1</v>
      </c>
      <c r="J65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Belgium</v>
      </c>
      <c r="K65" s="1" t="s">
        <v>91</v>
      </c>
      <c r="L65" s="1"/>
    </row>
    <row r="66" spans="1:12" x14ac:dyDescent="0.35">
      <c r="A66" s="1">
        <v>65</v>
      </c>
      <c r="B66" s="3">
        <v>46199</v>
      </c>
      <c r="C66" s="1" t="s">
        <v>85</v>
      </c>
      <c r="D66" s="1" t="s">
        <v>49</v>
      </c>
      <c r="E66" s="1" t="s">
        <v>53</v>
      </c>
      <c r="F66" s="1" t="s">
        <v>50</v>
      </c>
      <c r="G66" s="7">
        <v>0</v>
      </c>
      <c r="H66" s="7">
        <v>0</v>
      </c>
      <c r="I66" s="1" t="b">
        <f>AND(ISNUMBER(Matches[[#This Row],[Team 1 Goals]]),ISNUMBER(Matches[[#This Row],[Team 2 Goals]]))</f>
        <v>1</v>
      </c>
      <c r="J66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66" s="1" t="s">
        <v>95</v>
      </c>
      <c r="L66" s="1"/>
    </row>
    <row r="67" spans="1:12" x14ac:dyDescent="0.35">
      <c r="A67" s="1">
        <v>66</v>
      </c>
      <c r="B67" s="3">
        <v>46199</v>
      </c>
      <c r="C67" s="1" t="s">
        <v>85</v>
      </c>
      <c r="D67" s="1" t="s">
        <v>49</v>
      </c>
      <c r="E67" s="1" t="s">
        <v>51</v>
      </c>
      <c r="F67" s="1" t="s">
        <v>52</v>
      </c>
      <c r="G67" s="7">
        <v>0</v>
      </c>
      <c r="H67" s="7">
        <v>1</v>
      </c>
      <c r="I67" s="1" t="b">
        <f>AND(ISNUMBER(Matches[[#This Row],[Team 1 Goals]]),ISNUMBER(Matches[[#This Row],[Team 2 Goals]]))</f>
        <v>1</v>
      </c>
      <c r="J67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Spain</v>
      </c>
      <c r="K67" s="1" t="s">
        <v>87</v>
      </c>
      <c r="L67" s="1"/>
    </row>
    <row r="68" spans="1:12" x14ac:dyDescent="0.35">
      <c r="A68" s="1">
        <v>67</v>
      </c>
      <c r="B68" s="3">
        <v>46200</v>
      </c>
      <c r="C68" s="1" t="s">
        <v>85</v>
      </c>
      <c r="D68" s="1" t="s">
        <v>69</v>
      </c>
      <c r="E68" s="1" t="s">
        <v>71</v>
      </c>
      <c r="F68" s="1" t="s">
        <v>72</v>
      </c>
      <c r="G68" s="7">
        <v>0</v>
      </c>
      <c r="H68" s="7">
        <v>2</v>
      </c>
      <c r="I68" s="1" t="b">
        <f>AND(ISNUMBER(Matches[[#This Row],[Team 1 Goals]]),ISNUMBER(Matches[[#This Row],[Team 2 Goals]]))</f>
        <v>1</v>
      </c>
      <c r="J68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England</v>
      </c>
      <c r="K68" s="1" t="s">
        <v>92</v>
      </c>
      <c r="L68" s="1"/>
    </row>
    <row r="69" spans="1:12" x14ac:dyDescent="0.35">
      <c r="A69" s="1">
        <v>68</v>
      </c>
      <c r="B69" s="3">
        <v>46200</v>
      </c>
      <c r="C69" s="1" t="s">
        <v>85</v>
      </c>
      <c r="D69" s="1" t="s">
        <v>69</v>
      </c>
      <c r="E69" s="1" t="s">
        <v>73</v>
      </c>
      <c r="F69" s="1" t="s">
        <v>70</v>
      </c>
      <c r="G69" s="7">
        <v>2</v>
      </c>
      <c r="H69" s="7">
        <v>1</v>
      </c>
      <c r="I69" s="1" t="b">
        <f>AND(ISNUMBER(Matches[[#This Row],[Team 1 Goals]]),ISNUMBER(Matches[[#This Row],[Team 2 Goals]]))</f>
        <v>1</v>
      </c>
      <c r="J69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Croatia</v>
      </c>
      <c r="K69" s="1" t="s">
        <v>94</v>
      </c>
      <c r="L69" s="1"/>
    </row>
    <row r="70" spans="1:12" x14ac:dyDescent="0.35">
      <c r="A70" s="1">
        <v>69</v>
      </c>
      <c r="B70" s="3">
        <v>46200</v>
      </c>
      <c r="C70" s="1" t="s">
        <v>85</v>
      </c>
      <c r="D70" s="1" t="s">
        <v>59</v>
      </c>
      <c r="E70" s="1" t="s">
        <v>61</v>
      </c>
      <c r="F70" s="1" t="s">
        <v>62</v>
      </c>
      <c r="G70" s="7">
        <v>3</v>
      </c>
      <c r="H70" s="7">
        <v>3</v>
      </c>
      <c r="I70" s="1" t="b">
        <f>AND(ISNUMBER(Matches[[#This Row],[Team 1 Goals]]),ISNUMBER(Matches[[#This Row],[Team 2 Goals]]))</f>
        <v>1</v>
      </c>
      <c r="J70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70" s="1" t="s">
        <v>101</v>
      </c>
      <c r="L70" s="1"/>
    </row>
    <row r="71" spans="1:12" x14ac:dyDescent="0.35">
      <c r="A71" s="1">
        <v>70</v>
      </c>
      <c r="B71" s="3">
        <v>46200</v>
      </c>
      <c r="C71" s="1" t="s">
        <v>85</v>
      </c>
      <c r="D71" s="1" t="s">
        <v>59</v>
      </c>
      <c r="E71" s="1" t="s">
        <v>63</v>
      </c>
      <c r="F71" s="1" t="s">
        <v>60</v>
      </c>
      <c r="G71" s="7">
        <v>1</v>
      </c>
      <c r="H71" s="7">
        <v>3</v>
      </c>
      <c r="I71" s="1" t="b">
        <f>AND(ISNUMBER(Matches[[#This Row],[Team 1 Goals]]),ISNUMBER(Matches[[#This Row],[Team 2 Goals]]))</f>
        <v>1</v>
      </c>
      <c r="J71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Argentina</v>
      </c>
      <c r="K71" s="1" t="s">
        <v>96</v>
      </c>
      <c r="L71" s="1"/>
    </row>
    <row r="72" spans="1:12" x14ac:dyDescent="0.35">
      <c r="A72" s="1">
        <v>71</v>
      </c>
      <c r="B72" s="3">
        <v>46200</v>
      </c>
      <c r="C72" s="1" t="s">
        <v>85</v>
      </c>
      <c r="D72" s="1" t="s">
        <v>64</v>
      </c>
      <c r="E72" s="1" t="s">
        <v>68</v>
      </c>
      <c r="F72" s="1" t="s">
        <v>65</v>
      </c>
      <c r="G72" s="7">
        <v>0</v>
      </c>
      <c r="H72" s="7">
        <v>0</v>
      </c>
      <c r="I72" s="1" t="b">
        <f>AND(ISNUMBER(Matches[[#This Row],[Team 1 Goals]]),ISNUMBER(Matches[[#This Row],[Team 2 Goals]]))</f>
        <v>1</v>
      </c>
      <c r="J72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Draw</v>
      </c>
      <c r="K72" s="1" t="s">
        <v>98</v>
      </c>
      <c r="L72" s="1"/>
    </row>
    <row r="73" spans="1:12" x14ac:dyDescent="0.35">
      <c r="A73" s="1">
        <v>72</v>
      </c>
      <c r="B73" s="3">
        <v>46200</v>
      </c>
      <c r="C73" s="1" t="s">
        <v>85</v>
      </c>
      <c r="D73" s="1" t="s">
        <v>64</v>
      </c>
      <c r="E73" s="1" t="s">
        <v>66</v>
      </c>
      <c r="F73" s="1" t="s">
        <v>67</v>
      </c>
      <c r="G73" s="7">
        <v>3</v>
      </c>
      <c r="H73" s="7">
        <v>1</v>
      </c>
      <c r="I73" s="1" t="b">
        <f>AND(ISNUMBER(Matches[[#This Row],[Team 1 Goals]]),ISNUMBER(Matches[[#This Row],[Team 2 Goals]]))</f>
        <v>1</v>
      </c>
      <c r="J73" s="1" t="str">
        <f>IF(NOT(Matches[[#This Row],[Played?]]),"",IF(Matches[[#This Row],[Team 1 Goals]]&gt;Matches[[#This Row],[Team 2 Goals]],Matches[[#This Row],[Team 1]],IF(Matches[[#This Row],[Team 2 Goals]]&gt;Matches[[#This Row],[Team 1 Goals]],Matches[[#This Row],[Team 2]],"Draw")))</f>
        <v>Congo DR</v>
      </c>
      <c r="K73" s="1" t="s">
        <v>99</v>
      </c>
      <c r="L7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5653-A99A-496C-BB11-7FFE598DD678}">
  <dimension ref="A1:U49"/>
  <sheetViews>
    <sheetView workbookViewId="0"/>
  </sheetViews>
  <sheetFormatPr defaultRowHeight="14.5" x14ac:dyDescent="0.35"/>
  <cols>
    <col min="1" max="1" width="8.1796875" bestFit="1" customWidth="1"/>
    <col min="2" max="2" width="20.08984375" bestFit="1" customWidth="1"/>
    <col min="3" max="3" width="5.81640625" bestFit="1" customWidth="1"/>
    <col min="4" max="4" width="4.81640625" bestFit="1" customWidth="1"/>
    <col min="5" max="5" width="4.36328125" bestFit="1" customWidth="1"/>
    <col min="6" max="6" width="4" bestFit="1" customWidth="1"/>
    <col min="7" max="7" width="5.36328125" bestFit="1" customWidth="1"/>
    <col min="8" max="8" width="5.453125" bestFit="1" customWidth="1"/>
    <col min="9" max="9" width="5.6328125" bestFit="1" customWidth="1"/>
    <col min="10" max="10" width="5.7265625" bestFit="1" customWidth="1"/>
    <col min="11" max="11" width="7.36328125" bestFit="1" customWidth="1"/>
    <col min="12" max="12" width="9.7265625" bestFit="1" customWidth="1"/>
    <col min="13" max="13" width="16.08984375" bestFit="1" customWidth="1"/>
    <col min="15" max="15" width="17" bestFit="1" customWidth="1"/>
    <col min="16" max="16" width="9.6328125" customWidth="1"/>
    <col min="17" max="17" width="5.90625" bestFit="1" customWidth="1"/>
    <col min="18" max="18" width="3.453125" bestFit="1" customWidth="1"/>
    <col min="19" max="19" width="3.36328125" bestFit="1" customWidth="1"/>
    <col min="20" max="20" width="3.08984375" bestFit="1" customWidth="1"/>
    <col min="21" max="21" width="6.1796875" bestFit="1" customWidth="1"/>
  </cols>
  <sheetData>
    <row r="1" spans="1:21" x14ac:dyDescent="0.35">
      <c r="A1" s="1" t="s">
        <v>12</v>
      </c>
      <c r="B1" s="1" t="s">
        <v>13</v>
      </c>
      <c r="C1" s="1" t="s">
        <v>102</v>
      </c>
      <c r="D1" s="1" t="s">
        <v>103</v>
      </c>
      <c r="E1" s="1" t="s">
        <v>29</v>
      </c>
      <c r="F1" s="1" t="s">
        <v>69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/>
      <c r="O1" s="9" t="s">
        <v>111</v>
      </c>
      <c r="P1" s="9" t="s">
        <v>13</v>
      </c>
      <c r="Q1" s="9" t="s">
        <v>12</v>
      </c>
      <c r="R1" s="9" t="s">
        <v>107</v>
      </c>
      <c r="S1" s="9" t="s">
        <v>106</v>
      </c>
      <c r="T1" s="9" t="s">
        <v>104</v>
      </c>
      <c r="U1" s="9" t="s">
        <v>112</v>
      </c>
    </row>
    <row r="2" spans="1:21" x14ac:dyDescent="0.35">
      <c r="A2" s="1" t="s">
        <v>14</v>
      </c>
      <c r="B2" s="1" t="s">
        <v>15</v>
      </c>
      <c r="C2" s="2">
        <f>COUNTIFS(Matches!$D$2:$D$73,A2,Matches!$E$2:$E$73,B2,Matches!$I$2:$I$73,TRUE)+COUNTIFS(Matches!$D$2:$D$73,A2,Matches!$F$2:$F$73,B2,Matches!$I$2:$I$73,TRUE)</f>
        <v>3</v>
      </c>
      <c r="D2" s="2" cm="1">
        <f t="array" ref="D2">SUMPRODUCT((Matches!$D$2:$D$73=A2)*(Matches!$I$2:$I$73=TRUE)*(((Matches!$E$2:$E$73=B2)*(Matches!$G$2:$G$73&gt;Matches!$H$2:$H$73))+((Matches!$F$2:$F$73=B2)*(Matches!$H$2:$H$73&gt;Matches!$G$2:$G$73))))</f>
        <v>3</v>
      </c>
      <c r="E2" s="2" cm="1">
        <f t="array" ref="E2">SUMPRODUCT((Matches!$D$2:$D$73=A2)*(Matches!$I$2:$I$73=TRUE)*((Matches!$E$2:$E$73=B2)+(Matches!$F$2:$F$73=B2))*(Matches!$G$2:$G$73=Matches!$H$2:$H$73))</f>
        <v>0</v>
      </c>
      <c r="F2" s="2">
        <f t="shared" ref="F2:F49" si="0">C2-D2-E2</f>
        <v>0</v>
      </c>
      <c r="G2" s="2">
        <f>SUMIFS(Matches!$G$2:$G$73,Matches!$D$2:$D$73,A2,Matches!$E$2:$E$73,B2)+SUMIFS(Matches!$H$2:$H$73,Matches!$D$2:$D$73,A2,Matches!$F$2:$F$73,B2)</f>
        <v>6</v>
      </c>
      <c r="H2" s="2">
        <f>SUMIFS(Matches!$H$2:$H$73,Matches!$D$2:$D$73,A2,Matches!$E$2:$E$73,B2)+SUMIFS(Matches!$G$2:$G$73,Matches!$D$2:$D$73,A2,Matches!$F$2:$F$73,B2)</f>
        <v>0</v>
      </c>
      <c r="I2" s="2">
        <f t="shared" ref="I2:I49" si="1">G2-H2</f>
        <v>6</v>
      </c>
      <c r="J2" s="2">
        <f t="shared" ref="J2:J49" si="2">D2*3+E2</f>
        <v>9</v>
      </c>
      <c r="K2" s="2" cm="1">
        <f t="array" ref="K2">1+SUMPRODUCT(($A$2:$A$49=A2)*(($J$2:$J$49&gt;J2)+(($J$2:$J$49=J2)*($I$2:$I$49&gt;I2))+(($J$2:$J$49=J2)*($I$2:$I$49=I2)*($G$2:$G$49&gt;G2))))</f>
        <v>1</v>
      </c>
      <c r="L2" s="1" t="str">
        <f t="shared" ref="L2:L49" si="3">A2&amp;K2</f>
        <v>A1</v>
      </c>
      <c r="M2" s="8" t="str">
        <f t="shared" ref="M2:M49" si="4">IF(K2&lt;=2,"Qualified",IF(K2=3,"Third-place pool",""))</f>
        <v>Qualified</v>
      </c>
      <c r="N2" s="1"/>
      <c r="O2" s="1">
        <v>1</v>
      </c>
      <c r="P2" s="1" t="str" cm="1">
        <f t="array" ref="P2">IFERROR(INDEX(_xlfn._xlws.FILTER($B$2:$B$49,($A$2:$A$49="A")*($K$2:$K$49=3)),1),"")</f>
        <v>Korea Republic</v>
      </c>
      <c r="Q2" s="1" t="s">
        <v>14</v>
      </c>
      <c r="R2" s="1">
        <f t="shared" ref="R2:R13" si="5">IFERROR(_xlfn.XLOOKUP(P2,$B$2:$B$49,$J$2:$J$49),"")</f>
        <v>3</v>
      </c>
      <c r="S2" s="1">
        <f t="shared" ref="S2:S13" si="6">IFERROR(_xlfn.XLOOKUP(P2,$B$2:$B$49,$I$2:$I$49),"")</f>
        <v>-1</v>
      </c>
      <c r="T2" s="1">
        <f t="shared" ref="T2:T13" si="7">IFERROR(_xlfn.XLOOKUP(P2,$B$2:$B$49,$G$2:$G$49),"")</f>
        <v>2</v>
      </c>
      <c r="U2" s="1" t="str">
        <f t="shared" ref="U2:U13" si="8">IF(P2="","",IF(COUNTIF($R$2:$R$13,"&gt;"&amp;R2)&lt;8,"Likely advances","Watch"))</f>
        <v>Likely advances</v>
      </c>
    </row>
    <row r="3" spans="1:21" x14ac:dyDescent="0.35">
      <c r="A3" s="1" t="s">
        <v>14</v>
      </c>
      <c r="B3" s="1" t="s">
        <v>16</v>
      </c>
      <c r="C3" s="2">
        <f>COUNTIFS(Matches!$D$2:$D$73,A3,Matches!$E$2:$E$73,B3,Matches!$I$2:$I$73,TRUE)+COUNTIFS(Matches!$D$2:$D$73,A3,Matches!$F$2:$F$73,B3,Matches!$I$2:$I$73,TRUE)</f>
        <v>3</v>
      </c>
      <c r="D3" s="2" cm="1">
        <f t="array" ref="D3">SUMPRODUCT((Matches!$D$2:$D$73=A3)*(Matches!$I$2:$I$73=TRUE)*(((Matches!$E$2:$E$73=B3)*(Matches!$G$2:$G$73&gt;Matches!$H$2:$H$73))+((Matches!$F$2:$F$73=B3)*(Matches!$H$2:$H$73&gt;Matches!$G$2:$G$73))))</f>
        <v>1</v>
      </c>
      <c r="E3" s="2" cm="1">
        <f t="array" ref="E3">SUMPRODUCT((Matches!$D$2:$D$73=A3)*(Matches!$I$2:$I$73=TRUE)*((Matches!$E$2:$E$73=B3)+(Matches!$F$2:$F$73=B3))*(Matches!$G$2:$G$73=Matches!$H$2:$H$73))</f>
        <v>1</v>
      </c>
      <c r="F3" s="2">
        <f t="shared" si="0"/>
        <v>1</v>
      </c>
      <c r="G3" s="2">
        <f>SUMIFS(Matches!$G$2:$G$73,Matches!$D$2:$D$73,A3,Matches!$E$2:$E$73,B3)+SUMIFS(Matches!$H$2:$H$73,Matches!$D$2:$D$73,A3,Matches!$F$2:$F$73,B3)</f>
        <v>2</v>
      </c>
      <c r="H3" s="2">
        <f>SUMIFS(Matches!$H$2:$H$73,Matches!$D$2:$D$73,A3,Matches!$E$2:$E$73,B3)+SUMIFS(Matches!$G$2:$G$73,Matches!$D$2:$D$73,A3,Matches!$F$2:$F$73,B3)</f>
        <v>3</v>
      </c>
      <c r="I3" s="2">
        <f t="shared" si="1"/>
        <v>-1</v>
      </c>
      <c r="J3" s="2">
        <f t="shared" si="2"/>
        <v>4</v>
      </c>
      <c r="K3" s="2" cm="1">
        <f t="array" ref="K3">1+SUMPRODUCT(($A$2:$A$49=A3)*(($J$2:$J$49&gt;J3)+(($J$2:$J$49=J3)*($I$2:$I$49&gt;I3))+(($J$2:$J$49=J3)*($I$2:$I$49=I3)*($G$2:$G$49&gt;G3))))</f>
        <v>2</v>
      </c>
      <c r="L3" s="1" t="str">
        <f t="shared" si="3"/>
        <v>A2</v>
      </c>
      <c r="M3" s="8" t="str">
        <f t="shared" si="4"/>
        <v>Qualified</v>
      </c>
      <c r="N3" s="1"/>
      <c r="O3" s="1">
        <v>2</v>
      </c>
      <c r="P3" s="1" t="str" cm="1">
        <f t="array" ref="P3">IFERROR(INDEX(_xlfn._xlws.FILTER($B$2:$B$49,($A$2:$A$49="B")*($K$2:$K$49=3)),1),"")</f>
        <v>Bosnia and Herzegovina</v>
      </c>
      <c r="Q3" s="1" t="s">
        <v>19</v>
      </c>
      <c r="R3" s="1">
        <f t="shared" si="5"/>
        <v>4</v>
      </c>
      <c r="S3" s="1">
        <f t="shared" si="6"/>
        <v>-1</v>
      </c>
      <c r="T3" s="1">
        <f t="shared" si="7"/>
        <v>5</v>
      </c>
      <c r="U3" s="1" t="str">
        <f t="shared" si="8"/>
        <v>Likely advances</v>
      </c>
    </row>
    <row r="4" spans="1:21" x14ac:dyDescent="0.35">
      <c r="A4" s="1" t="s">
        <v>14</v>
      </c>
      <c r="B4" s="1" t="s">
        <v>17</v>
      </c>
      <c r="C4" s="2">
        <f>COUNTIFS(Matches!$D$2:$D$73,A4,Matches!$E$2:$E$73,B4,Matches!$I$2:$I$73,TRUE)+COUNTIFS(Matches!$D$2:$D$73,A4,Matches!$F$2:$F$73,B4,Matches!$I$2:$I$73,TRUE)</f>
        <v>3</v>
      </c>
      <c r="D4" s="2" cm="1">
        <f t="array" ref="D4">SUMPRODUCT((Matches!$D$2:$D$73=A4)*(Matches!$I$2:$I$73=TRUE)*(((Matches!$E$2:$E$73=B4)*(Matches!$G$2:$G$73&gt;Matches!$H$2:$H$73))+((Matches!$F$2:$F$73=B4)*(Matches!$H$2:$H$73&gt;Matches!$G$2:$G$73))))</f>
        <v>1</v>
      </c>
      <c r="E4" s="2" cm="1">
        <f t="array" ref="E4">SUMPRODUCT((Matches!$D$2:$D$73=A4)*(Matches!$I$2:$I$73=TRUE)*((Matches!$E$2:$E$73=B4)+(Matches!$F$2:$F$73=B4))*(Matches!$G$2:$G$73=Matches!$H$2:$H$73))</f>
        <v>0</v>
      </c>
      <c r="F4" s="2">
        <f t="shared" si="0"/>
        <v>2</v>
      </c>
      <c r="G4" s="2">
        <f>SUMIFS(Matches!$G$2:$G$73,Matches!$D$2:$D$73,A4,Matches!$E$2:$E$73,B4)+SUMIFS(Matches!$H$2:$H$73,Matches!$D$2:$D$73,A4,Matches!$F$2:$F$73,B4)</f>
        <v>2</v>
      </c>
      <c r="H4" s="2">
        <f>SUMIFS(Matches!$H$2:$H$73,Matches!$D$2:$D$73,A4,Matches!$E$2:$E$73,B4)+SUMIFS(Matches!$G$2:$G$73,Matches!$D$2:$D$73,A4,Matches!$F$2:$F$73,B4)</f>
        <v>3</v>
      </c>
      <c r="I4" s="2">
        <f t="shared" si="1"/>
        <v>-1</v>
      </c>
      <c r="J4" s="2">
        <f t="shared" si="2"/>
        <v>3</v>
      </c>
      <c r="K4" s="2" cm="1">
        <f t="array" ref="K4">1+SUMPRODUCT(($A$2:$A$49=A4)*(($J$2:$J$49&gt;J4)+(($J$2:$J$49=J4)*($I$2:$I$49&gt;I4))+(($J$2:$J$49=J4)*($I$2:$I$49=I4)*($G$2:$G$49&gt;G4))))</f>
        <v>3</v>
      </c>
      <c r="L4" s="1" t="str">
        <f t="shared" si="3"/>
        <v>A3</v>
      </c>
      <c r="M4" s="8" t="str">
        <f t="shared" si="4"/>
        <v>Third-place pool</v>
      </c>
      <c r="N4" s="1"/>
      <c r="O4" s="1">
        <v>3</v>
      </c>
      <c r="P4" s="1" t="str" cm="1">
        <f t="array" ref="P4">IFERROR(INDEX(_xlfn._xlws.FILTER($B$2:$B$49,($A$2:$A$49="C")*($K$2:$K$49=3)),1),"")</f>
        <v>Scotland</v>
      </c>
      <c r="Q4" s="1" t="s">
        <v>24</v>
      </c>
      <c r="R4" s="1">
        <f t="shared" si="5"/>
        <v>3</v>
      </c>
      <c r="S4" s="1">
        <f t="shared" si="6"/>
        <v>-3</v>
      </c>
      <c r="T4" s="1">
        <f t="shared" si="7"/>
        <v>1</v>
      </c>
      <c r="U4" s="1" t="str">
        <f t="shared" si="8"/>
        <v>Likely advances</v>
      </c>
    </row>
    <row r="5" spans="1:21" hidden="1" x14ac:dyDescent="0.35">
      <c r="A5" s="1" t="s">
        <v>14</v>
      </c>
      <c r="B5" s="1" t="s">
        <v>18</v>
      </c>
      <c r="C5" s="2">
        <f>COUNTIFS(Matches!$D$2:$D$73,A5,Matches!$E$2:$E$73,B5,Matches!$I$2:$I$73,TRUE)+COUNTIFS(Matches!$D$2:$D$73,A5,Matches!$F$2:$F$73,B5,Matches!$I$2:$I$73,TRUE)</f>
        <v>3</v>
      </c>
      <c r="D5" s="2" cm="1">
        <f t="array" ref="D5">SUMPRODUCT((Matches!$D$2:$D$73=A5)*(Matches!$I$2:$I$73=TRUE)*(((Matches!$E$2:$E$73=B5)*(Matches!$G$2:$G$73&gt;Matches!$H$2:$H$73))+((Matches!$F$2:$F$73=B5)*(Matches!$H$2:$H$73&gt;Matches!$G$2:$G$73))))</f>
        <v>0</v>
      </c>
      <c r="E5" s="2" cm="1">
        <f t="array" ref="E5">SUMPRODUCT((Matches!$D$2:$D$73=A5)*(Matches!$I$2:$I$73=TRUE)*((Matches!$E$2:$E$73=B5)+(Matches!$F$2:$F$73=B5))*(Matches!$G$2:$G$73=Matches!$H$2:$H$73))</f>
        <v>1</v>
      </c>
      <c r="F5" s="2">
        <f t="shared" si="0"/>
        <v>2</v>
      </c>
      <c r="G5" s="2">
        <f>SUMIFS(Matches!$G$2:$G$73,Matches!$D$2:$D$73,A5,Matches!$E$2:$E$73,B5)+SUMIFS(Matches!$H$2:$H$73,Matches!$D$2:$D$73,A5,Matches!$F$2:$F$73,B5)</f>
        <v>2</v>
      </c>
      <c r="H5" s="2">
        <f>SUMIFS(Matches!$H$2:$H$73,Matches!$D$2:$D$73,A5,Matches!$E$2:$E$73,B5)+SUMIFS(Matches!$G$2:$G$73,Matches!$D$2:$D$73,A5,Matches!$F$2:$F$73,B5)</f>
        <v>6</v>
      </c>
      <c r="I5" s="2">
        <f t="shared" si="1"/>
        <v>-4</v>
      </c>
      <c r="J5" s="2">
        <f t="shared" si="2"/>
        <v>1</v>
      </c>
      <c r="K5" s="2" cm="1">
        <f t="array" ref="K5">1+SUMPRODUCT(($A$2:$A$49=A5)*(($J$2:$J$49&gt;J5)+(($J$2:$J$49=J5)*($I$2:$I$49&gt;I5))+(($J$2:$J$49=J5)*($I$2:$I$49=I5)*($G$2:$G$49&gt;G5))))</f>
        <v>4</v>
      </c>
      <c r="L5" s="1" t="str">
        <f t="shared" si="3"/>
        <v>A4</v>
      </c>
      <c r="M5" s="8" t="str">
        <f t="shared" si="4"/>
        <v/>
      </c>
      <c r="N5" s="1"/>
      <c r="O5" s="1">
        <v>4</v>
      </c>
      <c r="P5" s="1" t="str" cm="1">
        <f t="array" ref="P5">IFERROR(INDEX(_xlfn._xlws.FILTER($B$2:$B$49,($A$2:$A$49="D")*($K$2:$K$49=3)),1),"")</f>
        <v>Paraguay</v>
      </c>
      <c r="Q5" s="1" t="s">
        <v>29</v>
      </c>
      <c r="R5" s="1">
        <f t="shared" si="5"/>
        <v>4</v>
      </c>
      <c r="S5" s="1">
        <f t="shared" si="6"/>
        <v>-2</v>
      </c>
      <c r="T5" s="1">
        <f t="shared" si="7"/>
        <v>2</v>
      </c>
      <c r="U5" s="1" t="str">
        <f t="shared" si="8"/>
        <v>Likely advances</v>
      </c>
    </row>
    <row r="6" spans="1:21" x14ac:dyDescent="0.35">
      <c r="A6" s="1" t="s">
        <v>19</v>
      </c>
      <c r="B6" s="1" t="s">
        <v>20</v>
      </c>
      <c r="C6" s="2">
        <f>COUNTIFS(Matches!$D$2:$D$73,A6,Matches!$E$2:$E$73,B6,Matches!$I$2:$I$73,TRUE)+COUNTIFS(Matches!$D$2:$D$73,A6,Matches!$F$2:$F$73,B6,Matches!$I$2:$I$73,TRUE)</f>
        <v>3</v>
      </c>
      <c r="D6" s="2" cm="1">
        <f t="array" ref="D6">SUMPRODUCT((Matches!$D$2:$D$73=A6)*(Matches!$I$2:$I$73=TRUE)*(((Matches!$E$2:$E$73=B6)*(Matches!$G$2:$G$73&gt;Matches!$H$2:$H$73))+((Matches!$F$2:$F$73=B6)*(Matches!$H$2:$H$73&gt;Matches!$G$2:$G$73))))</f>
        <v>1</v>
      </c>
      <c r="E6" s="2" cm="1">
        <f t="array" ref="E6">SUMPRODUCT((Matches!$D$2:$D$73=A6)*(Matches!$I$2:$I$73=TRUE)*((Matches!$E$2:$E$73=B6)+(Matches!$F$2:$F$73=B6))*(Matches!$G$2:$G$73=Matches!$H$2:$H$73))</f>
        <v>1</v>
      </c>
      <c r="F6" s="2">
        <f t="shared" si="0"/>
        <v>1</v>
      </c>
      <c r="G6" s="2">
        <f>SUMIFS(Matches!$G$2:$G$73,Matches!$D$2:$D$73,A6,Matches!$E$2:$E$73,B6)+SUMIFS(Matches!$H$2:$H$73,Matches!$D$2:$D$73,A6,Matches!$F$2:$F$73,B6)</f>
        <v>8</v>
      </c>
      <c r="H6" s="2">
        <f>SUMIFS(Matches!$H$2:$H$73,Matches!$D$2:$D$73,A6,Matches!$E$2:$E$73,B6)+SUMIFS(Matches!$G$2:$G$73,Matches!$D$2:$D$73,A6,Matches!$F$2:$F$73,B6)</f>
        <v>3</v>
      </c>
      <c r="I6" s="2">
        <f t="shared" si="1"/>
        <v>5</v>
      </c>
      <c r="J6" s="2">
        <f t="shared" si="2"/>
        <v>4</v>
      </c>
      <c r="K6" s="2" cm="1">
        <f t="array" ref="K6">1+SUMPRODUCT(($A$2:$A$49=A6)*(($J$2:$J$49&gt;J6)+(($J$2:$J$49=J6)*($I$2:$I$49&gt;I6))+(($J$2:$J$49=J6)*($I$2:$I$49=I6)*($G$2:$G$49&gt;G6))))</f>
        <v>2</v>
      </c>
      <c r="L6" s="1" t="str">
        <f t="shared" si="3"/>
        <v>B2</v>
      </c>
      <c r="M6" s="8" t="str">
        <f t="shared" si="4"/>
        <v>Qualified</v>
      </c>
      <c r="N6" s="1"/>
      <c r="O6" s="1">
        <v>5</v>
      </c>
      <c r="P6" s="1" t="str" cm="1">
        <f t="array" ref="P6">IFERROR(INDEX(_xlfn._xlws.FILTER($B$2:$B$49,($A$2:$A$49="E")*($K$2:$K$49=3)),1),"")</f>
        <v>Ecuador</v>
      </c>
      <c r="Q6" s="1" t="s">
        <v>34</v>
      </c>
      <c r="R6" s="1">
        <f t="shared" si="5"/>
        <v>4</v>
      </c>
      <c r="S6" s="1">
        <f t="shared" si="6"/>
        <v>0</v>
      </c>
      <c r="T6" s="1">
        <f t="shared" si="7"/>
        <v>2</v>
      </c>
      <c r="U6" s="1" t="str">
        <f t="shared" si="8"/>
        <v>Likely advances</v>
      </c>
    </row>
    <row r="7" spans="1:21" x14ac:dyDescent="0.35">
      <c r="A7" s="1" t="s">
        <v>19</v>
      </c>
      <c r="B7" s="1" t="s">
        <v>21</v>
      </c>
      <c r="C7" s="2">
        <f>COUNTIFS(Matches!$D$2:$D$73,A7,Matches!$E$2:$E$73,B7,Matches!$I$2:$I$73,TRUE)+COUNTIFS(Matches!$D$2:$D$73,A7,Matches!$F$2:$F$73,B7,Matches!$I$2:$I$73,TRUE)</f>
        <v>3</v>
      </c>
      <c r="D7" s="2" cm="1">
        <f t="array" ref="D7">SUMPRODUCT((Matches!$D$2:$D$73=A7)*(Matches!$I$2:$I$73=TRUE)*(((Matches!$E$2:$E$73=B7)*(Matches!$G$2:$G$73&gt;Matches!$H$2:$H$73))+((Matches!$F$2:$F$73=B7)*(Matches!$H$2:$H$73&gt;Matches!$G$2:$G$73))))</f>
        <v>1</v>
      </c>
      <c r="E7" s="2" cm="1">
        <f t="array" ref="E7">SUMPRODUCT((Matches!$D$2:$D$73=A7)*(Matches!$I$2:$I$73=TRUE)*((Matches!$E$2:$E$73=B7)+(Matches!$F$2:$F$73=B7))*(Matches!$G$2:$G$73=Matches!$H$2:$H$73))</f>
        <v>1</v>
      </c>
      <c r="F7" s="2">
        <f t="shared" si="0"/>
        <v>1</v>
      </c>
      <c r="G7" s="2">
        <f>SUMIFS(Matches!$G$2:$G$73,Matches!$D$2:$D$73,A7,Matches!$E$2:$E$73,B7)+SUMIFS(Matches!$H$2:$H$73,Matches!$D$2:$D$73,A7,Matches!$F$2:$F$73,B7)</f>
        <v>5</v>
      </c>
      <c r="H7" s="2">
        <f>SUMIFS(Matches!$H$2:$H$73,Matches!$D$2:$D$73,A7,Matches!$E$2:$E$73,B7)+SUMIFS(Matches!$G$2:$G$73,Matches!$D$2:$D$73,A7,Matches!$F$2:$F$73,B7)</f>
        <v>6</v>
      </c>
      <c r="I7" s="2">
        <f t="shared" si="1"/>
        <v>-1</v>
      </c>
      <c r="J7" s="2">
        <f t="shared" si="2"/>
        <v>4</v>
      </c>
      <c r="K7" s="2" cm="1">
        <f t="array" ref="K7">1+SUMPRODUCT(($A$2:$A$49=A7)*(($J$2:$J$49&gt;J7)+(($J$2:$J$49=J7)*($I$2:$I$49&gt;I7))+(($J$2:$J$49=J7)*($I$2:$I$49=I7)*($G$2:$G$49&gt;G7))))</f>
        <v>3</v>
      </c>
      <c r="L7" s="1" t="str">
        <f t="shared" si="3"/>
        <v>B3</v>
      </c>
      <c r="M7" s="8" t="str">
        <f t="shared" si="4"/>
        <v>Third-place pool</v>
      </c>
      <c r="N7" s="1"/>
      <c r="O7" s="1">
        <v>6</v>
      </c>
      <c r="P7" s="1" t="str" cm="1">
        <f t="array" ref="P7">IFERROR(INDEX(_xlfn._xlws.FILTER($B$2:$B$49,($A$2:$A$49="F")*($K$2:$K$49=3)),1),"")</f>
        <v>Sweden</v>
      </c>
      <c r="Q7" s="1" t="s">
        <v>39</v>
      </c>
      <c r="R7" s="1">
        <f t="shared" si="5"/>
        <v>4</v>
      </c>
      <c r="S7" s="1">
        <f t="shared" si="6"/>
        <v>0</v>
      </c>
      <c r="T7" s="1">
        <f t="shared" si="7"/>
        <v>7</v>
      </c>
      <c r="U7" s="1" t="str">
        <f t="shared" si="8"/>
        <v>Likely advances</v>
      </c>
    </row>
    <row r="8" spans="1:21" hidden="1" x14ac:dyDescent="0.35">
      <c r="A8" s="1" t="s">
        <v>19</v>
      </c>
      <c r="B8" s="1" t="s">
        <v>22</v>
      </c>
      <c r="C8" s="2">
        <f>COUNTIFS(Matches!$D$2:$D$73,A8,Matches!$E$2:$E$73,B8,Matches!$I$2:$I$73,TRUE)+COUNTIFS(Matches!$D$2:$D$73,A8,Matches!$F$2:$F$73,B8,Matches!$I$2:$I$73,TRUE)</f>
        <v>3</v>
      </c>
      <c r="D8" s="2" cm="1">
        <f t="array" ref="D8">SUMPRODUCT((Matches!$D$2:$D$73=A8)*(Matches!$I$2:$I$73=TRUE)*(((Matches!$E$2:$E$73=B8)*(Matches!$G$2:$G$73&gt;Matches!$H$2:$H$73))+((Matches!$F$2:$F$73=B8)*(Matches!$H$2:$H$73&gt;Matches!$G$2:$G$73))))</f>
        <v>0</v>
      </c>
      <c r="E8" s="2" cm="1">
        <f t="array" ref="E8">SUMPRODUCT((Matches!$D$2:$D$73=A8)*(Matches!$I$2:$I$73=TRUE)*((Matches!$E$2:$E$73=B8)+(Matches!$F$2:$F$73=B8))*(Matches!$G$2:$G$73=Matches!$H$2:$H$73))</f>
        <v>1</v>
      </c>
      <c r="F8" s="2">
        <f t="shared" si="0"/>
        <v>2</v>
      </c>
      <c r="G8" s="2">
        <f>SUMIFS(Matches!$G$2:$G$73,Matches!$D$2:$D$73,A8,Matches!$E$2:$E$73,B8)+SUMIFS(Matches!$H$2:$H$73,Matches!$D$2:$D$73,A8,Matches!$F$2:$F$73,B8)</f>
        <v>2</v>
      </c>
      <c r="H8" s="2">
        <f>SUMIFS(Matches!$H$2:$H$73,Matches!$D$2:$D$73,A8,Matches!$E$2:$E$73,B8)+SUMIFS(Matches!$G$2:$G$73,Matches!$D$2:$D$73,A8,Matches!$F$2:$F$73,B8)</f>
        <v>10</v>
      </c>
      <c r="I8" s="2">
        <f t="shared" si="1"/>
        <v>-8</v>
      </c>
      <c r="J8" s="2">
        <f t="shared" si="2"/>
        <v>1</v>
      </c>
      <c r="K8" s="2" cm="1">
        <f t="array" ref="K8">1+SUMPRODUCT(($A$2:$A$49=A8)*(($J$2:$J$49&gt;J8)+(($J$2:$J$49=J8)*($I$2:$I$49&gt;I8))+(($J$2:$J$49=J8)*($I$2:$I$49=I8)*($G$2:$G$49&gt;G8))))</f>
        <v>4</v>
      </c>
      <c r="L8" s="1" t="str">
        <f t="shared" si="3"/>
        <v>B4</v>
      </c>
      <c r="M8" s="8" t="str">
        <f t="shared" si="4"/>
        <v/>
      </c>
      <c r="N8" s="1"/>
      <c r="O8" s="1">
        <v>7</v>
      </c>
      <c r="P8" s="1" t="str" cm="1">
        <f t="array" ref="P8">IFERROR(INDEX(_xlfn._xlws.FILTER($B$2:$B$49,($A$2:$A$49="G")*($K$2:$K$49=3)),1),"")</f>
        <v>IR Iran</v>
      </c>
      <c r="Q8" s="1" t="s">
        <v>44</v>
      </c>
      <c r="R8" s="1">
        <f t="shared" si="5"/>
        <v>3</v>
      </c>
      <c r="S8" s="1">
        <f t="shared" si="6"/>
        <v>0</v>
      </c>
      <c r="T8" s="1">
        <f t="shared" si="7"/>
        <v>3</v>
      </c>
      <c r="U8" s="1" t="str">
        <f t="shared" si="8"/>
        <v>Likely advances</v>
      </c>
    </row>
    <row r="9" spans="1:21" x14ac:dyDescent="0.35">
      <c r="A9" s="1" t="s">
        <v>19</v>
      </c>
      <c r="B9" s="1" t="s">
        <v>23</v>
      </c>
      <c r="C9" s="2">
        <f>COUNTIFS(Matches!$D$2:$D$73,A9,Matches!$E$2:$E$73,B9,Matches!$I$2:$I$73,TRUE)+COUNTIFS(Matches!$D$2:$D$73,A9,Matches!$F$2:$F$73,B9,Matches!$I$2:$I$73,TRUE)</f>
        <v>3</v>
      </c>
      <c r="D9" s="2" cm="1">
        <f t="array" ref="D9">SUMPRODUCT((Matches!$D$2:$D$73=A9)*(Matches!$I$2:$I$73=TRUE)*(((Matches!$E$2:$E$73=B9)*(Matches!$G$2:$G$73&gt;Matches!$H$2:$H$73))+((Matches!$F$2:$F$73=B9)*(Matches!$H$2:$H$73&gt;Matches!$G$2:$G$73))))</f>
        <v>2</v>
      </c>
      <c r="E9" s="2" cm="1">
        <f t="array" ref="E9">SUMPRODUCT((Matches!$D$2:$D$73=A9)*(Matches!$I$2:$I$73=TRUE)*((Matches!$E$2:$E$73=B9)+(Matches!$F$2:$F$73=B9))*(Matches!$G$2:$G$73=Matches!$H$2:$H$73))</f>
        <v>1</v>
      </c>
      <c r="F9" s="2">
        <f t="shared" si="0"/>
        <v>0</v>
      </c>
      <c r="G9" s="2">
        <f>SUMIFS(Matches!$G$2:$G$73,Matches!$D$2:$D$73,A9,Matches!$E$2:$E$73,B9)+SUMIFS(Matches!$H$2:$H$73,Matches!$D$2:$D$73,A9,Matches!$F$2:$F$73,B9)</f>
        <v>7</v>
      </c>
      <c r="H9" s="2">
        <f>SUMIFS(Matches!$H$2:$H$73,Matches!$D$2:$D$73,A9,Matches!$E$2:$E$73,B9)+SUMIFS(Matches!$G$2:$G$73,Matches!$D$2:$D$73,A9,Matches!$F$2:$F$73,B9)</f>
        <v>3</v>
      </c>
      <c r="I9" s="2">
        <f t="shared" si="1"/>
        <v>4</v>
      </c>
      <c r="J9" s="2">
        <f t="shared" si="2"/>
        <v>7</v>
      </c>
      <c r="K9" s="2" cm="1">
        <f t="array" ref="K9">1+SUMPRODUCT(($A$2:$A$49=A9)*(($J$2:$J$49&gt;J9)+(($J$2:$J$49=J9)*($I$2:$I$49&gt;I9))+(($J$2:$J$49=J9)*($I$2:$I$49=I9)*($G$2:$G$49&gt;G9))))</f>
        <v>1</v>
      </c>
      <c r="L9" s="1" t="str">
        <f t="shared" si="3"/>
        <v>B1</v>
      </c>
      <c r="M9" s="8" t="str">
        <f t="shared" si="4"/>
        <v>Qualified</v>
      </c>
      <c r="N9" s="1"/>
      <c r="O9" s="1">
        <v>8</v>
      </c>
      <c r="P9" s="1" t="str" cm="1">
        <f t="array" ref="P9">IFERROR(INDEX(_xlfn._xlws.FILTER($B$2:$B$49,($A$2:$A$49="H")*($K$2:$K$49=3)),1),"")</f>
        <v>Uruguay</v>
      </c>
      <c r="Q9" s="1" t="s">
        <v>49</v>
      </c>
      <c r="R9" s="1">
        <f t="shared" si="5"/>
        <v>2</v>
      </c>
      <c r="S9" s="1">
        <f t="shared" si="6"/>
        <v>-1</v>
      </c>
      <c r="T9" s="1">
        <f t="shared" si="7"/>
        <v>3</v>
      </c>
      <c r="U9" s="1" t="str">
        <f t="shared" si="8"/>
        <v>Watch</v>
      </c>
    </row>
    <row r="10" spans="1:21" hidden="1" x14ac:dyDescent="0.35">
      <c r="A10" s="1" t="s">
        <v>24</v>
      </c>
      <c r="B10" s="1" t="s">
        <v>25</v>
      </c>
      <c r="C10" s="2">
        <f>COUNTIFS(Matches!$D$2:$D$73,A10,Matches!$E$2:$E$73,B10,Matches!$I$2:$I$73,TRUE)+COUNTIFS(Matches!$D$2:$D$73,A10,Matches!$F$2:$F$73,B10,Matches!$I$2:$I$73,TRUE)</f>
        <v>3</v>
      </c>
      <c r="D10" s="2" cm="1">
        <f t="array" ref="D10">SUMPRODUCT((Matches!$D$2:$D$73=A10)*(Matches!$I$2:$I$73=TRUE)*(((Matches!$E$2:$E$73=B10)*(Matches!$G$2:$G$73&gt;Matches!$H$2:$H$73))+((Matches!$F$2:$F$73=B10)*(Matches!$H$2:$H$73&gt;Matches!$G$2:$G$73))))</f>
        <v>0</v>
      </c>
      <c r="E10" s="2" cm="1">
        <f t="array" ref="E10">SUMPRODUCT((Matches!$D$2:$D$73=A10)*(Matches!$I$2:$I$73=TRUE)*((Matches!$E$2:$E$73=B10)+(Matches!$F$2:$F$73=B10))*(Matches!$G$2:$G$73=Matches!$H$2:$H$73))</f>
        <v>0</v>
      </c>
      <c r="F10" s="2">
        <f t="shared" si="0"/>
        <v>3</v>
      </c>
      <c r="G10" s="2">
        <f>SUMIFS(Matches!$G$2:$G$73,Matches!$D$2:$D$73,A10,Matches!$E$2:$E$73,B10)+SUMIFS(Matches!$H$2:$H$73,Matches!$D$2:$D$73,A10,Matches!$F$2:$F$73,B10)</f>
        <v>2</v>
      </c>
      <c r="H10" s="2">
        <f>SUMIFS(Matches!$H$2:$H$73,Matches!$D$2:$D$73,A10,Matches!$E$2:$E$73,B10)+SUMIFS(Matches!$G$2:$G$73,Matches!$D$2:$D$73,A10,Matches!$F$2:$F$73,B10)</f>
        <v>8</v>
      </c>
      <c r="I10" s="2">
        <f t="shared" si="1"/>
        <v>-6</v>
      </c>
      <c r="J10" s="2">
        <f t="shared" si="2"/>
        <v>0</v>
      </c>
      <c r="K10" s="2" cm="1">
        <f t="array" ref="K10">1+SUMPRODUCT(($A$2:$A$49=A10)*(($J$2:$J$49&gt;J10)+(($J$2:$J$49=J10)*($I$2:$I$49&gt;I10))+(($J$2:$J$49=J10)*($I$2:$I$49=I10)*($G$2:$G$49&gt;G10))))</f>
        <v>4</v>
      </c>
      <c r="L10" s="1" t="str">
        <f t="shared" si="3"/>
        <v>C4</v>
      </c>
      <c r="M10" s="8" t="str">
        <f t="shared" si="4"/>
        <v/>
      </c>
      <c r="N10" s="1"/>
      <c r="O10" s="1">
        <v>9</v>
      </c>
      <c r="P10" s="1" t="str" cm="1">
        <f t="array" ref="P10">IFERROR(INDEX(_xlfn._xlws.FILTER($B$2:$B$49,($A$2:$A$49="I")*($K$2:$K$49=3)),1),"")</f>
        <v>Senegal</v>
      </c>
      <c r="Q10" s="1" t="s">
        <v>54</v>
      </c>
      <c r="R10" s="1">
        <f t="shared" si="5"/>
        <v>3</v>
      </c>
      <c r="S10" s="1">
        <f t="shared" si="6"/>
        <v>2</v>
      </c>
      <c r="T10" s="1">
        <f t="shared" si="7"/>
        <v>8</v>
      </c>
      <c r="U10" s="1" t="str">
        <f t="shared" si="8"/>
        <v>Likely advances</v>
      </c>
    </row>
    <row r="11" spans="1:21" x14ac:dyDescent="0.35">
      <c r="A11" s="1" t="s">
        <v>24</v>
      </c>
      <c r="B11" s="1" t="s">
        <v>26</v>
      </c>
      <c r="C11" s="2">
        <f>COUNTIFS(Matches!$D$2:$D$73,A11,Matches!$E$2:$E$73,B11,Matches!$I$2:$I$73,TRUE)+COUNTIFS(Matches!$D$2:$D$73,A11,Matches!$F$2:$F$73,B11,Matches!$I$2:$I$73,TRUE)</f>
        <v>3</v>
      </c>
      <c r="D11" s="2" cm="1">
        <f t="array" ref="D11">SUMPRODUCT((Matches!$D$2:$D$73=A11)*(Matches!$I$2:$I$73=TRUE)*(((Matches!$E$2:$E$73=B11)*(Matches!$G$2:$G$73&gt;Matches!$H$2:$H$73))+((Matches!$F$2:$F$73=B11)*(Matches!$H$2:$H$73&gt;Matches!$G$2:$G$73))))</f>
        <v>1</v>
      </c>
      <c r="E11" s="2" cm="1">
        <f t="array" ref="E11">SUMPRODUCT((Matches!$D$2:$D$73=A11)*(Matches!$I$2:$I$73=TRUE)*((Matches!$E$2:$E$73=B11)+(Matches!$F$2:$F$73=B11))*(Matches!$G$2:$G$73=Matches!$H$2:$H$73))</f>
        <v>0</v>
      </c>
      <c r="F11" s="2">
        <f t="shared" si="0"/>
        <v>2</v>
      </c>
      <c r="G11" s="2">
        <f>SUMIFS(Matches!$G$2:$G$73,Matches!$D$2:$D$73,A11,Matches!$E$2:$E$73,B11)+SUMIFS(Matches!$H$2:$H$73,Matches!$D$2:$D$73,A11,Matches!$F$2:$F$73,B11)</f>
        <v>1</v>
      </c>
      <c r="H11" s="2">
        <f>SUMIFS(Matches!$H$2:$H$73,Matches!$D$2:$D$73,A11,Matches!$E$2:$E$73,B11)+SUMIFS(Matches!$G$2:$G$73,Matches!$D$2:$D$73,A11,Matches!$F$2:$F$73,B11)</f>
        <v>4</v>
      </c>
      <c r="I11" s="2">
        <f t="shared" si="1"/>
        <v>-3</v>
      </c>
      <c r="J11" s="2">
        <f t="shared" si="2"/>
        <v>3</v>
      </c>
      <c r="K11" s="2" cm="1">
        <f t="array" ref="K11">1+SUMPRODUCT(($A$2:$A$49=A11)*(($J$2:$J$49&gt;J11)+(($J$2:$J$49=J11)*($I$2:$I$49&gt;I11))+(($J$2:$J$49=J11)*($I$2:$I$49=I11)*($G$2:$G$49&gt;G11))))</f>
        <v>3</v>
      </c>
      <c r="L11" s="1" t="str">
        <f t="shared" si="3"/>
        <v>C3</v>
      </c>
      <c r="M11" s="8" t="str">
        <f t="shared" si="4"/>
        <v>Third-place pool</v>
      </c>
      <c r="N11" s="1"/>
      <c r="O11" s="1">
        <v>10</v>
      </c>
      <c r="P11" s="1" t="str" cm="1">
        <f t="array" ref="P11">IFERROR(INDEX(_xlfn._xlws.FILTER($B$2:$B$49,($A$2:$A$49="J")*($K$2:$K$49=3)),1),"")</f>
        <v>Algeria</v>
      </c>
      <c r="Q11" s="1" t="s">
        <v>59</v>
      </c>
      <c r="R11" s="1">
        <f t="shared" si="5"/>
        <v>4</v>
      </c>
      <c r="S11" s="1">
        <f t="shared" si="6"/>
        <v>-2</v>
      </c>
      <c r="T11" s="1">
        <f t="shared" si="7"/>
        <v>5</v>
      </c>
      <c r="U11" s="1" t="str">
        <f t="shared" si="8"/>
        <v>Likely advances</v>
      </c>
    </row>
    <row r="12" spans="1:21" x14ac:dyDescent="0.35">
      <c r="A12" s="1" t="s">
        <v>24</v>
      </c>
      <c r="B12" s="1" t="s">
        <v>27</v>
      </c>
      <c r="C12" s="2">
        <f>COUNTIFS(Matches!$D$2:$D$73,A12,Matches!$E$2:$E$73,B12,Matches!$I$2:$I$73,TRUE)+COUNTIFS(Matches!$D$2:$D$73,A12,Matches!$F$2:$F$73,B12,Matches!$I$2:$I$73,TRUE)</f>
        <v>3</v>
      </c>
      <c r="D12" s="2" cm="1">
        <f t="array" ref="D12">SUMPRODUCT((Matches!$D$2:$D$73=A12)*(Matches!$I$2:$I$73=TRUE)*(((Matches!$E$2:$E$73=B12)*(Matches!$G$2:$G$73&gt;Matches!$H$2:$H$73))+((Matches!$F$2:$F$73=B12)*(Matches!$H$2:$H$73&gt;Matches!$G$2:$G$73))))</f>
        <v>2</v>
      </c>
      <c r="E12" s="2" cm="1">
        <f t="array" ref="E12">SUMPRODUCT((Matches!$D$2:$D$73=A12)*(Matches!$I$2:$I$73=TRUE)*((Matches!$E$2:$E$73=B12)+(Matches!$F$2:$F$73=B12))*(Matches!$G$2:$G$73=Matches!$H$2:$H$73))</f>
        <v>1</v>
      </c>
      <c r="F12" s="2">
        <f t="shared" si="0"/>
        <v>0</v>
      </c>
      <c r="G12" s="2">
        <f>SUMIFS(Matches!$G$2:$G$73,Matches!$D$2:$D$73,A12,Matches!$E$2:$E$73,B12)+SUMIFS(Matches!$H$2:$H$73,Matches!$D$2:$D$73,A12,Matches!$F$2:$F$73,B12)</f>
        <v>7</v>
      </c>
      <c r="H12" s="2">
        <f>SUMIFS(Matches!$H$2:$H$73,Matches!$D$2:$D$73,A12,Matches!$E$2:$E$73,B12)+SUMIFS(Matches!$G$2:$G$73,Matches!$D$2:$D$73,A12,Matches!$F$2:$F$73,B12)</f>
        <v>1</v>
      </c>
      <c r="I12" s="2">
        <f t="shared" si="1"/>
        <v>6</v>
      </c>
      <c r="J12" s="2">
        <f t="shared" si="2"/>
        <v>7</v>
      </c>
      <c r="K12" s="2" cm="1">
        <f t="array" ref="K12">1+SUMPRODUCT(($A$2:$A$49=A12)*(($J$2:$J$49&gt;J12)+(($J$2:$J$49=J12)*($I$2:$I$49&gt;I12))+(($J$2:$J$49=J12)*($I$2:$I$49=I12)*($G$2:$G$49&gt;G12))))</f>
        <v>1</v>
      </c>
      <c r="L12" s="1" t="str">
        <f t="shared" si="3"/>
        <v>C1</v>
      </c>
      <c r="M12" s="8" t="str">
        <f t="shared" si="4"/>
        <v>Qualified</v>
      </c>
      <c r="N12" s="1"/>
      <c r="O12" s="1">
        <v>11</v>
      </c>
      <c r="P12" s="1" t="str" cm="1">
        <f t="array" ref="P12">IFERROR(INDEX(_xlfn._xlws.FILTER($B$2:$B$49,($A$2:$A$49="K")*($K$2:$K$49=3)),1),"")</f>
        <v>Congo DR</v>
      </c>
      <c r="Q12" s="1" t="s">
        <v>64</v>
      </c>
      <c r="R12" s="1">
        <f t="shared" si="5"/>
        <v>4</v>
      </c>
      <c r="S12" s="1">
        <f t="shared" si="6"/>
        <v>1</v>
      </c>
      <c r="T12" s="1">
        <f t="shared" si="7"/>
        <v>4</v>
      </c>
      <c r="U12" s="1" t="str">
        <f t="shared" si="8"/>
        <v>Likely advances</v>
      </c>
    </row>
    <row r="13" spans="1:21" x14ac:dyDescent="0.35">
      <c r="A13" s="1" t="s">
        <v>24</v>
      </c>
      <c r="B13" s="1" t="s">
        <v>28</v>
      </c>
      <c r="C13" s="2">
        <f>COUNTIFS(Matches!$D$2:$D$73,A13,Matches!$E$2:$E$73,B13,Matches!$I$2:$I$73,TRUE)+COUNTIFS(Matches!$D$2:$D$73,A13,Matches!$F$2:$F$73,B13,Matches!$I$2:$I$73,TRUE)</f>
        <v>3</v>
      </c>
      <c r="D13" s="2" cm="1">
        <f t="array" ref="D13">SUMPRODUCT((Matches!$D$2:$D$73=A13)*(Matches!$I$2:$I$73=TRUE)*(((Matches!$E$2:$E$73=B13)*(Matches!$G$2:$G$73&gt;Matches!$H$2:$H$73))+((Matches!$F$2:$F$73=B13)*(Matches!$H$2:$H$73&gt;Matches!$G$2:$G$73))))</f>
        <v>2</v>
      </c>
      <c r="E13" s="2" cm="1">
        <f t="array" ref="E13">SUMPRODUCT((Matches!$D$2:$D$73=A13)*(Matches!$I$2:$I$73=TRUE)*((Matches!$E$2:$E$73=B13)+(Matches!$F$2:$F$73=B13))*(Matches!$G$2:$G$73=Matches!$H$2:$H$73))</f>
        <v>1</v>
      </c>
      <c r="F13" s="2">
        <f t="shared" si="0"/>
        <v>0</v>
      </c>
      <c r="G13" s="2">
        <f>SUMIFS(Matches!$G$2:$G$73,Matches!$D$2:$D$73,A13,Matches!$E$2:$E$73,B13)+SUMIFS(Matches!$H$2:$H$73,Matches!$D$2:$D$73,A13,Matches!$F$2:$F$73,B13)</f>
        <v>6</v>
      </c>
      <c r="H13" s="2">
        <f>SUMIFS(Matches!$H$2:$H$73,Matches!$D$2:$D$73,A13,Matches!$E$2:$E$73,B13)+SUMIFS(Matches!$G$2:$G$73,Matches!$D$2:$D$73,A13,Matches!$F$2:$F$73,B13)</f>
        <v>3</v>
      </c>
      <c r="I13" s="2">
        <f t="shared" si="1"/>
        <v>3</v>
      </c>
      <c r="J13" s="2">
        <f t="shared" si="2"/>
        <v>7</v>
      </c>
      <c r="K13" s="2" cm="1">
        <f t="array" ref="K13">1+SUMPRODUCT(($A$2:$A$49=A13)*(($J$2:$J$49&gt;J13)+(($J$2:$J$49=J13)*($I$2:$I$49&gt;I13))+(($J$2:$J$49=J13)*($I$2:$I$49=I13)*($G$2:$G$49&gt;G13))))</f>
        <v>2</v>
      </c>
      <c r="L13" s="1" t="str">
        <f t="shared" si="3"/>
        <v>C2</v>
      </c>
      <c r="M13" s="8" t="str">
        <f t="shared" si="4"/>
        <v>Qualified</v>
      </c>
      <c r="N13" s="1"/>
      <c r="O13" s="1">
        <v>12</v>
      </c>
      <c r="P13" s="1" t="str" cm="1">
        <f t="array" ref="P13">IFERROR(INDEX(_xlfn._xlws.FILTER($B$2:$B$49,($A$2:$A$49="L")*($K$2:$K$49=3)),1),"")</f>
        <v>Ghana</v>
      </c>
      <c r="Q13" s="1" t="s">
        <v>69</v>
      </c>
      <c r="R13" s="1">
        <f t="shared" si="5"/>
        <v>4</v>
      </c>
      <c r="S13" s="1">
        <f t="shared" si="6"/>
        <v>0</v>
      </c>
      <c r="T13" s="1">
        <f t="shared" si="7"/>
        <v>2</v>
      </c>
      <c r="U13" s="1" t="str">
        <f t="shared" si="8"/>
        <v>Likely advances</v>
      </c>
    </row>
    <row r="14" spans="1:21" x14ac:dyDescent="0.35">
      <c r="A14" s="1" t="s">
        <v>29</v>
      </c>
      <c r="B14" s="1" t="s">
        <v>30</v>
      </c>
      <c r="C14" s="2">
        <f>COUNTIFS(Matches!$D$2:$D$73,A14,Matches!$E$2:$E$73,B14,Matches!$I$2:$I$73,TRUE)+COUNTIFS(Matches!$D$2:$D$73,A14,Matches!$F$2:$F$73,B14,Matches!$I$2:$I$73,TRUE)</f>
        <v>3</v>
      </c>
      <c r="D14" s="2" cm="1">
        <f t="array" ref="D14">SUMPRODUCT((Matches!$D$2:$D$73=A14)*(Matches!$I$2:$I$73=TRUE)*(((Matches!$E$2:$E$73=B14)*(Matches!$G$2:$G$73&gt;Matches!$H$2:$H$73))+((Matches!$F$2:$F$73=B14)*(Matches!$H$2:$H$73&gt;Matches!$G$2:$G$73))))</f>
        <v>2</v>
      </c>
      <c r="E14" s="2" cm="1">
        <f t="array" ref="E14">SUMPRODUCT((Matches!$D$2:$D$73=A14)*(Matches!$I$2:$I$73=TRUE)*((Matches!$E$2:$E$73=B14)+(Matches!$F$2:$F$73=B14))*(Matches!$G$2:$G$73=Matches!$H$2:$H$73))</f>
        <v>0</v>
      </c>
      <c r="F14" s="2">
        <f t="shared" si="0"/>
        <v>1</v>
      </c>
      <c r="G14" s="2">
        <f>SUMIFS(Matches!$G$2:$G$73,Matches!$D$2:$D$73,A14,Matches!$E$2:$E$73,B14)+SUMIFS(Matches!$H$2:$H$73,Matches!$D$2:$D$73,A14,Matches!$F$2:$F$73,B14)</f>
        <v>8</v>
      </c>
      <c r="H14" s="2">
        <f>SUMIFS(Matches!$H$2:$H$73,Matches!$D$2:$D$73,A14,Matches!$E$2:$E$73,B14)+SUMIFS(Matches!$G$2:$G$73,Matches!$D$2:$D$73,A14,Matches!$F$2:$F$73,B14)</f>
        <v>4</v>
      </c>
      <c r="I14" s="2">
        <f t="shared" si="1"/>
        <v>4</v>
      </c>
      <c r="J14" s="2">
        <f t="shared" si="2"/>
        <v>6</v>
      </c>
      <c r="K14" s="2" cm="1">
        <f t="array" ref="K14">1+SUMPRODUCT(($A$2:$A$49=A14)*(($J$2:$J$49&gt;J14)+(($J$2:$J$49=J14)*($I$2:$I$49&gt;I14))+(($J$2:$J$49=J14)*($I$2:$I$49=I14)*($G$2:$G$49&gt;G14))))</f>
        <v>1</v>
      </c>
      <c r="L14" s="1" t="str">
        <f t="shared" si="3"/>
        <v>D1</v>
      </c>
      <c r="M14" s="8" t="str">
        <f t="shared" si="4"/>
        <v>Qualified</v>
      </c>
      <c r="N14" s="1"/>
      <c r="O14" s="1"/>
      <c r="P14" s="1"/>
      <c r="Q14" s="1"/>
      <c r="R14" s="1"/>
      <c r="S14" s="1"/>
      <c r="T14" s="1"/>
      <c r="U14" s="1"/>
    </row>
    <row r="15" spans="1:21" x14ac:dyDescent="0.35">
      <c r="A15" s="1" t="s">
        <v>29</v>
      </c>
      <c r="B15" s="1" t="s">
        <v>31</v>
      </c>
      <c r="C15" s="2">
        <f>COUNTIFS(Matches!$D$2:$D$73,A15,Matches!$E$2:$E$73,B15,Matches!$I$2:$I$73,TRUE)+COUNTIFS(Matches!$D$2:$D$73,A15,Matches!$F$2:$F$73,B15,Matches!$I$2:$I$73,TRUE)</f>
        <v>3</v>
      </c>
      <c r="D15" s="2" cm="1">
        <f t="array" ref="D15">SUMPRODUCT((Matches!$D$2:$D$73=A15)*(Matches!$I$2:$I$73=TRUE)*(((Matches!$E$2:$E$73=B15)*(Matches!$G$2:$G$73&gt;Matches!$H$2:$H$73))+((Matches!$F$2:$F$73=B15)*(Matches!$H$2:$H$73&gt;Matches!$G$2:$G$73))))</f>
        <v>1</v>
      </c>
      <c r="E15" s="2" cm="1">
        <f t="array" ref="E15">SUMPRODUCT((Matches!$D$2:$D$73=A15)*(Matches!$I$2:$I$73=TRUE)*((Matches!$E$2:$E$73=B15)+(Matches!$F$2:$F$73=B15))*(Matches!$G$2:$G$73=Matches!$H$2:$H$73))</f>
        <v>1</v>
      </c>
      <c r="F15" s="2">
        <f t="shared" si="0"/>
        <v>1</v>
      </c>
      <c r="G15" s="2">
        <f>SUMIFS(Matches!$G$2:$G$73,Matches!$D$2:$D$73,A15,Matches!$E$2:$E$73,B15)+SUMIFS(Matches!$H$2:$H$73,Matches!$D$2:$D$73,A15,Matches!$F$2:$F$73,B15)</f>
        <v>2</v>
      </c>
      <c r="H15" s="2">
        <f>SUMIFS(Matches!$H$2:$H$73,Matches!$D$2:$D$73,A15,Matches!$E$2:$E$73,B15)+SUMIFS(Matches!$G$2:$G$73,Matches!$D$2:$D$73,A15,Matches!$F$2:$F$73,B15)</f>
        <v>4</v>
      </c>
      <c r="I15" s="2">
        <f t="shared" si="1"/>
        <v>-2</v>
      </c>
      <c r="J15" s="2">
        <f t="shared" si="2"/>
        <v>4</v>
      </c>
      <c r="K15" s="2" cm="1">
        <f t="array" ref="K15">1+SUMPRODUCT(($A$2:$A$49=A15)*(($J$2:$J$49&gt;J15)+(($J$2:$J$49=J15)*($I$2:$I$49&gt;I15))+(($J$2:$J$49=J15)*($I$2:$I$49=I15)*($G$2:$G$49&gt;G15))))</f>
        <v>3</v>
      </c>
      <c r="L15" s="1" t="str">
        <f t="shared" si="3"/>
        <v>D3</v>
      </c>
      <c r="M15" s="8" t="str">
        <f t="shared" si="4"/>
        <v>Third-place pool</v>
      </c>
      <c r="N15" s="1"/>
      <c r="O15" s="1"/>
      <c r="P15" s="1"/>
      <c r="Q15" s="1"/>
      <c r="R15" s="1"/>
      <c r="S15" s="1"/>
      <c r="T15" s="1"/>
      <c r="U15" s="1"/>
    </row>
    <row r="16" spans="1:21" x14ac:dyDescent="0.35">
      <c r="A16" s="1" t="s">
        <v>29</v>
      </c>
      <c r="B16" s="1" t="s">
        <v>32</v>
      </c>
      <c r="C16" s="2">
        <f>COUNTIFS(Matches!$D$2:$D$73,A16,Matches!$E$2:$E$73,B16,Matches!$I$2:$I$73,TRUE)+COUNTIFS(Matches!$D$2:$D$73,A16,Matches!$F$2:$F$73,B16,Matches!$I$2:$I$73,TRUE)</f>
        <v>3</v>
      </c>
      <c r="D16" s="2" cm="1">
        <f t="array" ref="D16">SUMPRODUCT((Matches!$D$2:$D$73=A16)*(Matches!$I$2:$I$73=TRUE)*(((Matches!$E$2:$E$73=B16)*(Matches!$G$2:$G$73&gt;Matches!$H$2:$H$73))+((Matches!$F$2:$F$73=B16)*(Matches!$H$2:$H$73&gt;Matches!$G$2:$G$73))))</f>
        <v>1</v>
      </c>
      <c r="E16" s="2" cm="1">
        <f t="array" ref="E16">SUMPRODUCT((Matches!$D$2:$D$73=A16)*(Matches!$I$2:$I$73=TRUE)*((Matches!$E$2:$E$73=B16)+(Matches!$F$2:$F$73=B16))*(Matches!$G$2:$G$73=Matches!$H$2:$H$73))</f>
        <v>1</v>
      </c>
      <c r="F16" s="2">
        <f t="shared" si="0"/>
        <v>1</v>
      </c>
      <c r="G16" s="2">
        <f>SUMIFS(Matches!$G$2:$G$73,Matches!$D$2:$D$73,A16,Matches!$E$2:$E$73,B16)+SUMIFS(Matches!$H$2:$H$73,Matches!$D$2:$D$73,A16,Matches!$F$2:$F$73,B16)</f>
        <v>2</v>
      </c>
      <c r="H16" s="2">
        <f>SUMIFS(Matches!$H$2:$H$73,Matches!$D$2:$D$73,A16,Matches!$E$2:$E$73,B16)+SUMIFS(Matches!$G$2:$G$73,Matches!$D$2:$D$73,A16,Matches!$F$2:$F$73,B16)</f>
        <v>2</v>
      </c>
      <c r="I16" s="2">
        <f t="shared" si="1"/>
        <v>0</v>
      </c>
      <c r="J16" s="2">
        <f t="shared" si="2"/>
        <v>4</v>
      </c>
      <c r="K16" s="2" cm="1">
        <f t="array" ref="K16">1+SUMPRODUCT(($A$2:$A$49=A16)*(($J$2:$J$49&gt;J16)+(($J$2:$J$49=J16)*($I$2:$I$49&gt;I16))+(($J$2:$J$49=J16)*($I$2:$I$49=I16)*($G$2:$G$49&gt;G16))))</f>
        <v>2</v>
      </c>
      <c r="L16" s="1" t="str">
        <f t="shared" si="3"/>
        <v>D2</v>
      </c>
      <c r="M16" s="8" t="str">
        <f t="shared" si="4"/>
        <v>Qualified</v>
      </c>
      <c r="N16" s="1"/>
      <c r="O16" s="1"/>
      <c r="P16" s="1"/>
      <c r="Q16" s="1"/>
      <c r="R16" s="1"/>
      <c r="S16" s="1"/>
      <c r="T16" s="1"/>
      <c r="U16" s="1"/>
    </row>
    <row r="17" spans="1:21" hidden="1" x14ac:dyDescent="0.35">
      <c r="A17" s="1" t="s">
        <v>29</v>
      </c>
      <c r="B17" s="1" t="s">
        <v>33</v>
      </c>
      <c r="C17" s="2">
        <f>COUNTIFS(Matches!$D$2:$D$73,A17,Matches!$E$2:$E$73,B17,Matches!$I$2:$I$73,TRUE)+COUNTIFS(Matches!$D$2:$D$73,A17,Matches!$F$2:$F$73,B17,Matches!$I$2:$I$73,TRUE)</f>
        <v>3</v>
      </c>
      <c r="D17" s="2" cm="1">
        <f t="array" ref="D17">SUMPRODUCT((Matches!$D$2:$D$73=A17)*(Matches!$I$2:$I$73=TRUE)*(((Matches!$E$2:$E$73=B17)*(Matches!$G$2:$G$73&gt;Matches!$H$2:$H$73))+((Matches!$F$2:$F$73=B17)*(Matches!$H$2:$H$73&gt;Matches!$G$2:$G$73))))</f>
        <v>1</v>
      </c>
      <c r="E17" s="2" cm="1">
        <f t="array" ref="E17">SUMPRODUCT((Matches!$D$2:$D$73=A17)*(Matches!$I$2:$I$73=TRUE)*((Matches!$E$2:$E$73=B17)+(Matches!$F$2:$F$73=B17))*(Matches!$G$2:$G$73=Matches!$H$2:$H$73))</f>
        <v>0</v>
      </c>
      <c r="F17" s="2">
        <f t="shared" si="0"/>
        <v>2</v>
      </c>
      <c r="G17" s="2">
        <f>SUMIFS(Matches!$G$2:$G$73,Matches!$D$2:$D$73,A17,Matches!$E$2:$E$73,B17)+SUMIFS(Matches!$H$2:$H$73,Matches!$D$2:$D$73,A17,Matches!$F$2:$F$73,B17)</f>
        <v>3</v>
      </c>
      <c r="H17" s="2">
        <f>SUMIFS(Matches!$H$2:$H$73,Matches!$D$2:$D$73,A17,Matches!$E$2:$E$73,B17)+SUMIFS(Matches!$G$2:$G$73,Matches!$D$2:$D$73,A17,Matches!$F$2:$F$73,B17)</f>
        <v>5</v>
      </c>
      <c r="I17" s="2">
        <f t="shared" si="1"/>
        <v>-2</v>
      </c>
      <c r="J17" s="2">
        <f t="shared" si="2"/>
        <v>3</v>
      </c>
      <c r="K17" s="2" cm="1">
        <f t="array" ref="K17">1+SUMPRODUCT(($A$2:$A$49=A17)*(($J$2:$J$49&gt;J17)+(($J$2:$J$49=J17)*($I$2:$I$49&gt;I17))+(($J$2:$J$49=J17)*($I$2:$I$49=I17)*($G$2:$G$49&gt;G17))))</f>
        <v>4</v>
      </c>
      <c r="L17" s="1" t="str">
        <f t="shared" si="3"/>
        <v>D4</v>
      </c>
      <c r="M17" s="8" t="str">
        <f t="shared" si="4"/>
        <v/>
      </c>
      <c r="N17" s="1"/>
      <c r="O17" s="1"/>
      <c r="P17" s="1"/>
      <c r="Q17" s="1"/>
      <c r="R17" s="1"/>
      <c r="S17" s="1"/>
      <c r="T17" s="1"/>
      <c r="U17" s="1"/>
    </row>
    <row r="18" spans="1:21" x14ac:dyDescent="0.35">
      <c r="A18" s="1" t="s">
        <v>34</v>
      </c>
      <c r="B18" s="1" t="s">
        <v>35</v>
      </c>
      <c r="C18" s="2">
        <f>COUNTIFS(Matches!$D$2:$D$73,A18,Matches!$E$2:$E$73,B18,Matches!$I$2:$I$73,TRUE)+COUNTIFS(Matches!$D$2:$D$73,A18,Matches!$F$2:$F$73,B18,Matches!$I$2:$I$73,TRUE)</f>
        <v>3</v>
      </c>
      <c r="D18" s="2" cm="1">
        <f t="array" ref="D18">SUMPRODUCT((Matches!$D$2:$D$73=A18)*(Matches!$I$2:$I$73=TRUE)*(((Matches!$E$2:$E$73=B18)*(Matches!$G$2:$G$73&gt;Matches!$H$2:$H$73))+((Matches!$F$2:$F$73=B18)*(Matches!$H$2:$H$73&gt;Matches!$G$2:$G$73))))</f>
        <v>2</v>
      </c>
      <c r="E18" s="2" cm="1">
        <f t="array" ref="E18">SUMPRODUCT((Matches!$D$2:$D$73=A18)*(Matches!$I$2:$I$73=TRUE)*((Matches!$E$2:$E$73=B18)+(Matches!$F$2:$F$73=B18))*(Matches!$G$2:$G$73=Matches!$H$2:$H$73))</f>
        <v>0</v>
      </c>
      <c r="F18" s="2">
        <f t="shared" si="0"/>
        <v>1</v>
      </c>
      <c r="G18" s="2">
        <f>SUMIFS(Matches!$G$2:$G$73,Matches!$D$2:$D$73,A18,Matches!$E$2:$E$73,B18)+SUMIFS(Matches!$H$2:$H$73,Matches!$D$2:$D$73,A18,Matches!$F$2:$F$73,B18)</f>
        <v>4</v>
      </c>
      <c r="H18" s="2">
        <f>SUMIFS(Matches!$H$2:$H$73,Matches!$D$2:$D$73,A18,Matches!$E$2:$E$73,B18)+SUMIFS(Matches!$G$2:$G$73,Matches!$D$2:$D$73,A18,Matches!$F$2:$F$73,B18)</f>
        <v>2</v>
      </c>
      <c r="I18" s="2">
        <f t="shared" si="1"/>
        <v>2</v>
      </c>
      <c r="J18" s="2">
        <f t="shared" si="2"/>
        <v>6</v>
      </c>
      <c r="K18" s="2" cm="1">
        <f t="array" ref="K18">1+SUMPRODUCT(($A$2:$A$49=A18)*(($J$2:$J$49&gt;J18)+(($J$2:$J$49=J18)*($I$2:$I$49&gt;I18))+(($J$2:$J$49=J18)*($I$2:$I$49=I18)*($G$2:$G$49&gt;G18))))</f>
        <v>2</v>
      </c>
      <c r="L18" s="1" t="str">
        <f t="shared" si="3"/>
        <v>E2</v>
      </c>
      <c r="M18" s="8" t="str">
        <f t="shared" si="4"/>
        <v>Qualified</v>
      </c>
      <c r="N18" s="1"/>
      <c r="O18" s="1"/>
      <c r="P18" s="1"/>
      <c r="Q18" s="1"/>
      <c r="R18" s="1"/>
      <c r="S18" s="1"/>
      <c r="T18" s="1"/>
      <c r="U18" s="1"/>
    </row>
    <row r="19" spans="1:21" x14ac:dyDescent="0.35">
      <c r="A19" s="1" t="s">
        <v>34</v>
      </c>
      <c r="B19" s="1" t="s">
        <v>36</v>
      </c>
      <c r="C19" s="2">
        <f>COUNTIFS(Matches!$D$2:$D$73,A19,Matches!$E$2:$E$73,B19,Matches!$I$2:$I$73,TRUE)+COUNTIFS(Matches!$D$2:$D$73,A19,Matches!$F$2:$F$73,B19,Matches!$I$2:$I$73,TRUE)</f>
        <v>3</v>
      </c>
      <c r="D19" s="2" cm="1">
        <f t="array" ref="D19">SUMPRODUCT((Matches!$D$2:$D$73=A19)*(Matches!$I$2:$I$73=TRUE)*(((Matches!$E$2:$E$73=B19)*(Matches!$G$2:$G$73&gt;Matches!$H$2:$H$73))+((Matches!$F$2:$F$73=B19)*(Matches!$H$2:$H$73&gt;Matches!$G$2:$G$73))))</f>
        <v>1</v>
      </c>
      <c r="E19" s="2" cm="1">
        <f t="array" ref="E19">SUMPRODUCT((Matches!$D$2:$D$73=A19)*(Matches!$I$2:$I$73=TRUE)*((Matches!$E$2:$E$73=B19)+(Matches!$F$2:$F$73=B19))*(Matches!$G$2:$G$73=Matches!$H$2:$H$73))</f>
        <v>1</v>
      </c>
      <c r="F19" s="2">
        <f t="shared" si="0"/>
        <v>1</v>
      </c>
      <c r="G19" s="2">
        <f>SUMIFS(Matches!$G$2:$G$73,Matches!$D$2:$D$73,A19,Matches!$E$2:$E$73,B19)+SUMIFS(Matches!$H$2:$H$73,Matches!$D$2:$D$73,A19,Matches!$F$2:$F$73,B19)</f>
        <v>2</v>
      </c>
      <c r="H19" s="2">
        <f>SUMIFS(Matches!$H$2:$H$73,Matches!$D$2:$D$73,A19,Matches!$E$2:$E$73,B19)+SUMIFS(Matches!$G$2:$G$73,Matches!$D$2:$D$73,A19,Matches!$F$2:$F$73,B19)</f>
        <v>2</v>
      </c>
      <c r="I19" s="2">
        <f t="shared" si="1"/>
        <v>0</v>
      </c>
      <c r="J19" s="2">
        <f t="shared" si="2"/>
        <v>4</v>
      </c>
      <c r="K19" s="2" cm="1">
        <f t="array" ref="K19">1+SUMPRODUCT(($A$2:$A$49=A19)*(($J$2:$J$49&gt;J19)+(($J$2:$J$49=J19)*($I$2:$I$49&gt;I19))+(($J$2:$J$49=J19)*($I$2:$I$49=I19)*($G$2:$G$49&gt;G19))))</f>
        <v>3</v>
      </c>
      <c r="L19" s="1" t="str">
        <f t="shared" si="3"/>
        <v>E3</v>
      </c>
      <c r="M19" s="8" t="str">
        <f t="shared" si="4"/>
        <v>Third-place pool</v>
      </c>
      <c r="N19" s="1"/>
      <c r="O19" s="1"/>
      <c r="P19" s="1"/>
      <c r="Q19" s="1"/>
      <c r="R19" s="1"/>
      <c r="S19" s="1"/>
      <c r="T19" s="1"/>
      <c r="U19" s="1"/>
    </row>
    <row r="20" spans="1:21" x14ac:dyDescent="0.35">
      <c r="A20" s="1" t="s">
        <v>34</v>
      </c>
      <c r="B20" s="1" t="s">
        <v>37</v>
      </c>
      <c r="C20" s="2">
        <f>COUNTIFS(Matches!$D$2:$D$73,A20,Matches!$E$2:$E$73,B20,Matches!$I$2:$I$73,TRUE)+COUNTIFS(Matches!$D$2:$D$73,A20,Matches!$F$2:$F$73,B20,Matches!$I$2:$I$73,TRUE)</f>
        <v>3</v>
      </c>
      <c r="D20" s="2" cm="1">
        <f t="array" ref="D20">SUMPRODUCT((Matches!$D$2:$D$73=A20)*(Matches!$I$2:$I$73=TRUE)*(((Matches!$E$2:$E$73=B20)*(Matches!$G$2:$G$73&gt;Matches!$H$2:$H$73))+((Matches!$F$2:$F$73=B20)*(Matches!$H$2:$H$73&gt;Matches!$G$2:$G$73))))</f>
        <v>2</v>
      </c>
      <c r="E20" s="2" cm="1">
        <f t="array" ref="E20">SUMPRODUCT((Matches!$D$2:$D$73=A20)*(Matches!$I$2:$I$73=TRUE)*((Matches!$E$2:$E$73=B20)+(Matches!$F$2:$F$73=B20))*(Matches!$G$2:$G$73=Matches!$H$2:$H$73))</f>
        <v>0</v>
      </c>
      <c r="F20" s="2">
        <f t="shared" si="0"/>
        <v>1</v>
      </c>
      <c r="G20" s="2">
        <f>SUMIFS(Matches!$G$2:$G$73,Matches!$D$2:$D$73,A20,Matches!$E$2:$E$73,B20)+SUMIFS(Matches!$H$2:$H$73,Matches!$D$2:$D$73,A20,Matches!$F$2:$F$73,B20)</f>
        <v>10</v>
      </c>
      <c r="H20" s="2">
        <f>SUMIFS(Matches!$H$2:$H$73,Matches!$D$2:$D$73,A20,Matches!$E$2:$E$73,B20)+SUMIFS(Matches!$G$2:$G$73,Matches!$D$2:$D$73,A20,Matches!$F$2:$F$73,B20)</f>
        <v>4</v>
      </c>
      <c r="I20" s="2">
        <f t="shared" si="1"/>
        <v>6</v>
      </c>
      <c r="J20" s="2">
        <f t="shared" si="2"/>
        <v>6</v>
      </c>
      <c r="K20" s="2" cm="1">
        <f t="array" ref="K20">1+SUMPRODUCT(($A$2:$A$49=A20)*(($J$2:$J$49&gt;J20)+(($J$2:$J$49=J20)*($I$2:$I$49&gt;I20))+(($J$2:$J$49=J20)*($I$2:$I$49=I20)*($G$2:$G$49&gt;G20))))</f>
        <v>1</v>
      </c>
      <c r="L20" s="1" t="str">
        <f t="shared" si="3"/>
        <v>E1</v>
      </c>
      <c r="M20" s="8" t="str">
        <f t="shared" si="4"/>
        <v>Qualified</v>
      </c>
      <c r="N20" s="1"/>
      <c r="O20" s="1"/>
      <c r="P20" s="1"/>
      <c r="Q20" s="1"/>
      <c r="R20" s="1"/>
      <c r="S20" s="1"/>
      <c r="T20" s="1"/>
      <c r="U20" s="1"/>
    </row>
    <row r="21" spans="1:21" hidden="1" x14ac:dyDescent="0.35">
      <c r="A21" s="1" t="s">
        <v>34</v>
      </c>
      <c r="B21" s="1" t="s">
        <v>38</v>
      </c>
      <c r="C21" s="2">
        <f>COUNTIFS(Matches!$D$2:$D$73,A21,Matches!$E$2:$E$73,B21,Matches!$I$2:$I$73,TRUE)+COUNTIFS(Matches!$D$2:$D$73,A21,Matches!$F$2:$F$73,B21,Matches!$I$2:$I$73,TRUE)</f>
        <v>3</v>
      </c>
      <c r="D21" s="2" cm="1">
        <f t="array" ref="D21">SUMPRODUCT((Matches!$D$2:$D$73=A21)*(Matches!$I$2:$I$73=TRUE)*(((Matches!$E$2:$E$73=B21)*(Matches!$G$2:$G$73&gt;Matches!$H$2:$H$73))+((Matches!$F$2:$F$73=B21)*(Matches!$H$2:$H$73&gt;Matches!$G$2:$G$73))))</f>
        <v>0</v>
      </c>
      <c r="E21" s="2" cm="1">
        <f t="array" ref="E21">SUMPRODUCT((Matches!$D$2:$D$73=A21)*(Matches!$I$2:$I$73=TRUE)*((Matches!$E$2:$E$73=B21)+(Matches!$F$2:$F$73=B21))*(Matches!$G$2:$G$73=Matches!$H$2:$H$73))</f>
        <v>1</v>
      </c>
      <c r="F21" s="2">
        <f t="shared" si="0"/>
        <v>2</v>
      </c>
      <c r="G21" s="2">
        <f>SUMIFS(Matches!$G$2:$G$73,Matches!$D$2:$D$73,A21,Matches!$E$2:$E$73,B21)+SUMIFS(Matches!$H$2:$H$73,Matches!$D$2:$D$73,A21,Matches!$F$2:$F$73,B21)</f>
        <v>1</v>
      </c>
      <c r="H21" s="2">
        <f>SUMIFS(Matches!$H$2:$H$73,Matches!$D$2:$D$73,A21,Matches!$E$2:$E$73,B21)+SUMIFS(Matches!$G$2:$G$73,Matches!$D$2:$D$73,A21,Matches!$F$2:$F$73,B21)</f>
        <v>9</v>
      </c>
      <c r="I21" s="2">
        <f t="shared" si="1"/>
        <v>-8</v>
      </c>
      <c r="J21" s="2">
        <f t="shared" si="2"/>
        <v>1</v>
      </c>
      <c r="K21" s="2" cm="1">
        <f t="array" ref="K21">1+SUMPRODUCT(($A$2:$A$49=A21)*(($J$2:$J$49&gt;J21)+(($J$2:$J$49=J21)*($I$2:$I$49&gt;I21))+(($J$2:$J$49=J21)*($I$2:$I$49=I21)*($G$2:$G$49&gt;G21))))</f>
        <v>4</v>
      </c>
      <c r="L21" s="1" t="str">
        <f t="shared" si="3"/>
        <v>E4</v>
      </c>
      <c r="M21" s="8" t="str">
        <f t="shared" si="4"/>
        <v/>
      </c>
      <c r="N21" s="1"/>
      <c r="O21" s="1"/>
      <c r="P21" s="1"/>
      <c r="Q21" s="1"/>
      <c r="R21" s="1"/>
      <c r="S21" s="1"/>
      <c r="T21" s="1"/>
      <c r="U21" s="1"/>
    </row>
    <row r="22" spans="1:21" x14ac:dyDescent="0.35">
      <c r="A22" s="1" t="s">
        <v>39</v>
      </c>
      <c r="B22" s="1" t="s">
        <v>40</v>
      </c>
      <c r="C22" s="2">
        <f>COUNTIFS(Matches!$D$2:$D$73,A22,Matches!$E$2:$E$73,B22,Matches!$I$2:$I$73,TRUE)+COUNTIFS(Matches!$D$2:$D$73,A22,Matches!$F$2:$F$73,B22,Matches!$I$2:$I$73,TRUE)</f>
        <v>3</v>
      </c>
      <c r="D22" s="2" cm="1">
        <f t="array" ref="D22">SUMPRODUCT((Matches!$D$2:$D$73=A22)*(Matches!$I$2:$I$73=TRUE)*(((Matches!$E$2:$E$73=B22)*(Matches!$G$2:$G$73&gt;Matches!$H$2:$H$73))+((Matches!$F$2:$F$73=B22)*(Matches!$H$2:$H$73&gt;Matches!$G$2:$G$73))))</f>
        <v>2</v>
      </c>
      <c r="E22" s="2" cm="1">
        <f t="array" ref="E22">SUMPRODUCT((Matches!$D$2:$D$73=A22)*(Matches!$I$2:$I$73=TRUE)*((Matches!$E$2:$E$73=B22)+(Matches!$F$2:$F$73=B22))*(Matches!$G$2:$G$73=Matches!$H$2:$H$73))</f>
        <v>1</v>
      </c>
      <c r="F22" s="2">
        <f t="shared" si="0"/>
        <v>0</v>
      </c>
      <c r="G22" s="2">
        <f>SUMIFS(Matches!$G$2:$G$73,Matches!$D$2:$D$73,A22,Matches!$E$2:$E$73,B22)+SUMIFS(Matches!$H$2:$H$73,Matches!$D$2:$D$73,A22,Matches!$F$2:$F$73,B22)</f>
        <v>10</v>
      </c>
      <c r="H22" s="2">
        <f>SUMIFS(Matches!$H$2:$H$73,Matches!$D$2:$D$73,A22,Matches!$E$2:$E$73,B22)+SUMIFS(Matches!$G$2:$G$73,Matches!$D$2:$D$73,A22,Matches!$F$2:$F$73,B22)</f>
        <v>4</v>
      </c>
      <c r="I22" s="2">
        <f t="shared" si="1"/>
        <v>6</v>
      </c>
      <c r="J22" s="2">
        <f t="shared" si="2"/>
        <v>7</v>
      </c>
      <c r="K22" s="2" cm="1">
        <f t="array" ref="K22">1+SUMPRODUCT(($A$2:$A$49=A22)*(($J$2:$J$49&gt;J22)+(($J$2:$J$49=J22)*($I$2:$I$49&gt;I22))+(($J$2:$J$49=J22)*($I$2:$I$49=I22)*($G$2:$G$49&gt;G22))))</f>
        <v>1</v>
      </c>
      <c r="L22" s="1" t="str">
        <f t="shared" si="3"/>
        <v>F1</v>
      </c>
      <c r="M22" s="8" t="str">
        <f t="shared" si="4"/>
        <v>Qualified</v>
      </c>
      <c r="N22" s="1"/>
      <c r="O22" s="1"/>
      <c r="P22" s="1"/>
      <c r="Q22" s="1"/>
      <c r="R22" s="1"/>
      <c r="S22" s="1"/>
      <c r="T22" s="1"/>
      <c r="U22" s="1"/>
    </row>
    <row r="23" spans="1:21" x14ac:dyDescent="0.35">
      <c r="A23" s="1" t="s">
        <v>39</v>
      </c>
      <c r="B23" s="1" t="s">
        <v>41</v>
      </c>
      <c r="C23" s="2">
        <f>COUNTIFS(Matches!$D$2:$D$73,A23,Matches!$E$2:$E$73,B23,Matches!$I$2:$I$73,TRUE)+COUNTIFS(Matches!$D$2:$D$73,A23,Matches!$F$2:$F$73,B23,Matches!$I$2:$I$73,TRUE)</f>
        <v>3</v>
      </c>
      <c r="D23" s="2" cm="1">
        <f t="array" ref="D23">SUMPRODUCT((Matches!$D$2:$D$73=A23)*(Matches!$I$2:$I$73=TRUE)*(((Matches!$E$2:$E$73=B23)*(Matches!$G$2:$G$73&gt;Matches!$H$2:$H$73))+((Matches!$F$2:$F$73=B23)*(Matches!$H$2:$H$73&gt;Matches!$G$2:$G$73))))</f>
        <v>1</v>
      </c>
      <c r="E23" s="2" cm="1">
        <f t="array" ref="E23">SUMPRODUCT((Matches!$D$2:$D$73=A23)*(Matches!$I$2:$I$73=TRUE)*((Matches!$E$2:$E$73=B23)+(Matches!$F$2:$F$73=B23))*(Matches!$G$2:$G$73=Matches!$H$2:$H$73))</f>
        <v>2</v>
      </c>
      <c r="F23" s="2">
        <f t="shared" si="0"/>
        <v>0</v>
      </c>
      <c r="G23" s="2">
        <f>SUMIFS(Matches!$G$2:$G$73,Matches!$D$2:$D$73,A23,Matches!$E$2:$E$73,B23)+SUMIFS(Matches!$H$2:$H$73,Matches!$D$2:$D$73,A23,Matches!$F$2:$F$73,B23)</f>
        <v>7</v>
      </c>
      <c r="H23" s="2">
        <f>SUMIFS(Matches!$H$2:$H$73,Matches!$D$2:$D$73,A23,Matches!$E$2:$E$73,B23)+SUMIFS(Matches!$G$2:$G$73,Matches!$D$2:$D$73,A23,Matches!$F$2:$F$73,B23)</f>
        <v>3</v>
      </c>
      <c r="I23" s="2">
        <f t="shared" si="1"/>
        <v>4</v>
      </c>
      <c r="J23" s="2">
        <f t="shared" si="2"/>
        <v>5</v>
      </c>
      <c r="K23" s="2" cm="1">
        <f t="array" ref="K23">1+SUMPRODUCT(($A$2:$A$49=A23)*(($J$2:$J$49&gt;J23)+(($J$2:$J$49=J23)*($I$2:$I$49&gt;I23))+(($J$2:$J$49=J23)*($I$2:$I$49=I23)*($G$2:$G$49&gt;G23))))</f>
        <v>2</v>
      </c>
      <c r="L23" s="1" t="str">
        <f t="shared" si="3"/>
        <v>F2</v>
      </c>
      <c r="M23" s="8" t="str">
        <f t="shared" si="4"/>
        <v>Qualified</v>
      </c>
      <c r="N23" s="1"/>
      <c r="O23" s="1"/>
      <c r="P23" s="1"/>
      <c r="Q23" s="1"/>
      <c r="R23" s="1"/>
      <c r="S23" s="1"/>
      <c r="T23" s="1"/>
      <c r="U23" s="1"/>
    </row>
    <row r="24" spans="1:21" x14ac:dyDescent="0.35">
      <c r="A24" s="1" t="s">
        <v>39</v>
      </c>
      <c r="B24" s="1" t="s">
        <v>42</v>
      </c>
      <c r="C24" s="2">
        <f>COUNTIFS(Matches!$D$2:$D$73,A24,Matches!$E$2:$E$73,B24,Matches!$I$2:$I$73,TRUE)+COUNTIFS(Matches!$D$2:$D$73,A24,Matches!$F$2:$F$73,B24,Matches!$I$2:$I$73,TRUE)</f>
        <v>3</v>
      </c>
      <c r="D24" s="2" cm="1">
        <f t="array" ref="D24">SUMPRODUCT((Matches!$D$2:$D$73=A24)*(Matches!$I$2:$I$73=TRUE)*(((Matches!$E$2:$E$73=B24)*(Matches!$G$2:$G$73&gt;Matches!$H$2:$H$73))+((Matches!$F$2:$F$73=B24)*(Matches!$H$2:$H$73&gt;Matches!$G$2:$G$73))))</f>
        <v>1</v>
      </c>
      <c r="E24" s="2" cm="1">
        <f t="array" ref="E24">SUMPRODUCT((Matches!$D$2:$D$73=A24)*(Matches!$I$2:$I$73=TRUE)*((Matches!$E$2:$E$73=B24)+(Matches!$F$2:$F$73=B24))*(Matches!$G$2:$G$73=Matches!$H$2:$H$73))</f>
        <v>1</v>
      </c>
      <c r="F24" s="2">
        <f t="shared" si="0"/>
        <v>1</v>
      </c>
      <c r="G24" s="2">
        <f>SUMIFS(Matches!$G$2:$G$73,Matches!$D$2:$D$73,A24,Matches!$E$2:$E$73,B24)+SUMIFS(Matches!$H$2:$H$73,Matches!$D$2:$D$73,A24,Matches!$F$2:$F$73,B24)</f>
        <v>7</v>
      </c>
      <c r="H24" s="2">
        <f>SUMIFS(Matches!$H$2:$H$73,Matches!$D$2:$D$73,A24,Matches!$E$2:$E$73,B24)+SUMIFS(Matches!$G$2:$G$73,Matches!$D$2:$D$73,A24,Matches!$F$2:$F$73,B24)</f>
        <v>7</v>
      </c>
      <c r="I24" s="2">
        <f t="shared" si="1"/>
        <v>0</v>
      </c>
      <c r="J24" s="2">
        <f t="shared" si="2"/>
        <v>4</v>
      </c>
      <c r="K24" s="2" cm="1">
        <f t="array" ref="K24">1+SUMPRODUCT(($A$2:$A$49=A24)*(($J$2:$J$49&gt;J24)+(($J$2:$J$49=J24)*($I$2:$I$49&gt;I24))+(($J$2:$J$49=J24)*($I$2:$I$49=I24)*($G$2:$G$49&gt;G24))))</f>
        <v>3</v>
      </c>
      <c r="L24" s="1" t="str">
        <f t="shared" si="3"/>
        <v>F3</v>
      </c>
      <c r="M24" s="8" t="str">
        <f t="shared" si="4"/>
        <v>Third-place pool</v>
      </c>
      <c r="N24" s="1"/>
      <c r="O24" s="1"/>
      <c r="P24" s="1"/>
      <c r="Q24" s="1"/>
      <c r="R24" s="1"/>
      <c r="S24" s="1"/>
      <c r="T24" s="1"/>
      <c r="U24" s="1"/>
    </row>
    <row r="25" spans="1:21" hidden="1" x14ac:dyDescent="0.35">
      <c r="A25" s="1" t="s">
        <v>39</v>
      </c>
      <c r="B25" s="1" t="s">
        <v>43</v>
      </c>
      <c r="C25" s="2">
        <f>COUNTIFS(Matches!$D$2:$D$73,A25,Matches!$E$2:$E$73,B25,Matches!$I$2:$I$73,TRUE)+COUNTIFS(Matches!$D$2:$D$73,A25,Matches!$F$2:$F$73,B25,Matches!$I$2:$I$73,TRUE)</f>
        <v>3</v>
      </c>
      <c r="D25" s="2" cm="1">
        <f t="array" ref="D25">SUMPRODUCT((Matches!$D$2:$D$73=A25)*(Matches!$I$2:$I$73=TRUE)*(((Matches!$E$2:$E$73=B25)*(Matches!$G$2:$G$73&gt;Matches!$H$2:$H$73))+((Matches!$F$2:$F$73=B25)*(Matches!$H$2:$H$73&gt;Matches!$G$2:$G$73))))</f>
        <v>0</v>
      </c>
      <c r="E25" s="2" cm="1">
        <f t="array" ref="E25">SUMPRODUCT((Matches!$D$2:$D$73=A25)*(Matches!$I$2:$I$73=TRUE)*((Matches!$E$2:$E$73=B25)+(Matches!$F$2:$F$73=B25))*(Matches!$G$2:$G$73=Matches!$H$2:$H$73))</f>
        <v>0</v>
      </c>
      <c r="F25" s="2">
        <f t="shared" si="0"/>
        <v>3</v>
      </c>
      <c r="G25" s="2">
        <f>SUMIFS(Matches!$G$2:$G$73,Matches!$D$2:$D$73,A25,Matches!$E$2:$E$73,B25)+SUMIFS(Matches!$H$2:$H$73,Matches!$D$2:$D$73,A25,Matches!$F$2:$F$73,B25)</f>
        <v>2</v>
      </c>
      <c r="H25" s="2">
        <f>SUMIFS(Matches!$H$2:$H$73,Matches!$D$2:$D$73,A25,Matches!$E$2:$E$73,B25)+SUMIFS(Matches!$G$2:$G$73,Matches!$D$2:$D$73,A25,Matches!$F$2:$F$73,B25)</f>
        <v>12</v>
      </c>
      <c r="I25" s="2">
        <f t="shared" si="1"/>
        <v>-10</v>
      </c>
      <c r="J25" s="2">
        <f t="shared" si="2"/>
        <v>0</v>
      </c>
      <c r="K25" s="2" cm="1">
        <f t="array" ref="K25">1+SUMPRODUCT(($A$2:$A$49=A25)*(($J$2:$J$49&gt;J25)+(($J$2:$J$49=J25)*($I$2:$I$49&gt;I25))+(($J$2:$J$49=J25)*($I$2:$I$49=I25)*($G$2:$G$49&gt;G25))))</f>
        <v>4</v>
      </c>
      <c r="L25" s="1" t="str">
        <f t="shared" si="3"/>
        <v>F4</v>
      </c>
      <c r="M25" s="8" t="str">
        <f t="shared" si="4"/>
        <v/>
      </c>
      <c r="N25" s="1"/>
      <c r="O25" s="1"/>
      <c r="P25" s="1"/>
      <c r="Q25" s="1"/>
      <c r="R25" s="1"/>
      <c r="S25" s="1"/>
      <c r="T25" s="1"/>
      <c r="U25" s="1"/>
    </row>
    <row r="26" spans="1:21" x14ac:dyDescent="0.35">
      <c r="A26" s="1" t="s">
        <v>44</v>
      </c>
      <c r="B26" s="1" t="s">
        <v>45</v>
      </c>
      <c r="C26" s="2">
        <f>COUNTIFS(Matches!$D$2:$D$73,A26,Matches!$E$2:$E$73,B26,Matches!$I$2:$I$73,TRUE)+COUNTIFS(Matches!$D$2:$D$73,A26,Matches!$F$2:$F$73,B26,Matches!$I$2:$I$73,TRUE)</f>
        <v>3</v>
      </c>
      <c r="D26" s="2" cm="1">
        <f t="array" ref="D26">SUMPRODUCT((Matches!$D$2:$D$73=A26)*(Matches!$I$2:$I$73=TRUE)*(((Matches!$E$2:$E$73=B26)*(Matches!$G$2:$G$73&gt;Matches!$H$2:$H$73))+((Matches!$F$2:$F$73=B26)*(Matches!$H$2:$H$73&gt;Matches!$G$2:$G$73))))</f>
        <v>0</v>
      </c>
      <c r="E26" s="2" cm="1">
        <f t="array" ref="E26">SUMPRODUCT((Matches!$D$2:$D$73=A26)*(Matches!$I$2:$I$73=TRUE)*((Matches!$E$2:$E$73=B26)+(Matches!$F$2:$F$73=B26))*(Matches!$G$2:$G$73=Matches!$H$2:$H$73))</f>
        <v>3</v>
      </c>
      <c r="F26" s="2">
        <f t="shared" si="0"/>
        <v>0</v>
      </c>
      <c r="G26" s="2">
        <f>SUMIFS(Matches!$G$2:$G$73,Matches!$D$2:$D$73,A26,Matches!$E$2:$E$73,B26)+SUMIFS(Matches!$H$2:$H$73,Matches!$D$2:$D$73,A26,Matches!$F$2:$F$73,B26)</f>
        <v>3</v>
      </c>
      <c r="H26" s="2">
        <f>SUMIFS(Matches!$H$2:$H$73,Matches!$D$2:$D$73,A26,Matches!$E$2:$E$73,B26)+SUMIFS(Matches!$G$2:$G$73,Matches!$D$2:$D$73,A26,Matches!$F$2:$F$73,B26)</f>
        <v>3</v>
      </c>
      <c r="I26" s="2">
        <f t="shared" si="1"/>
        <v>0</v>
      </c>
      <c r="J26" s="2">
        <f t="shared" si="2"/>
        <v>3</v>
      </c>
      <c r="K26" s="2" cm="1">
        <f t="array" ref="K26">1+SUMPRODUCT(($A$2:$A$49=A26)*(($J$2:$J$49&gt;J26)+(($J$2:$J$49=J26)*($I$2:$I$49&gt;I26))+(($J$2:$J$49=J26)*($I$2:$I$49=I26)*($G$2:$G$49&gt;G26))))</f>
        <v>3</v>
      </c>
      <c r="L26" s="1" t="str">
        <f t="shared" si="3"/>
        <v>G3</v>
      </c>
      <c r="M26" s="8" t="str">
        <f t="shared" si="4"/>
        <v>Third-place pool</v>
      </c>
      <c r="N26" s="1"/>
      <c r="O26" s="1"/>
      <c r="P26" s="1"/>
      <c r="Q26" s="1"/>
      <c r="R26" s="1"/>
      <c r="S26" s="1"/>
      <c r="T26" s="1"/>
      <c r="U26" s="1"/>
    </row>
    <row r="27" spans="1:21" hidden="1" x14ac:dyDescent="0.35">
      <c r="A27" s="1" t="s">
        <v>44</v>
      </c>
      <c r="B27" s="1" t="s">
        <v>46</v>
      </c>
      <c r="C27" s="2">
        <f>COUNTIFS(Matches!$D$2:$D$73,A27,Matches!$E$2:$E$73,B27,Matches!$I$2:$I$73,TRUE)+COUNTIFS(Matches!$D$2:$D$73,A27,Matches!$F$2:$F$73,B27,Matches!$I$2:$I$73,TRUE)</f>
        <v>3</v>
      </c>
      <c r="D27" s="2" cm="1">
        <f t="array" ref="D27">SUMPRODUCT((Matches!$D$2:$D$73=A27)*(Matches!$I$2:$I$73=TRUE)*(((Matches!$E$2:$E$73=B27)*(Matches!$G$2:$G$73&gt;Matches!$H$2:$H$73))+((Matches!$F$2:$F$73=B27)*(Matches!$H$2:$H$73&gt;Matches!$G$2:$G$73))))</f>
        <v>0</v>
      </c>
      <c r="E27" s="2" cm="1">
        <f t="array" ref="E27">SUMPRODUCT((Matches!$D$2:$D$73=A27)*(Matches!$I$2:$I$73=TRUE)*((Matches!$E$2:$E$73=B27)+(Matches!$F$2:$F$73=B27))*(Matches!$G$2:$G$73=Matches!$H$2:$H$73))</f>
        <v>1</v>
      </c>
      <c r="F27" s="2">
        <f t="shared" si="0"/>
        <v>2</v>
      </c>
      <c r="G27" s="2">
        <f>SUMIFS(Matches!$G$2:$G$73,Matches!$D$2:$D$73,A27,Matches!$E$2:$E$73,B27)+SUMIFS(Matches!$H$2:$H$73,Matches!$D$2:$D$73,A27,Matches!$F$2:$F$73,B27)</f>
        <v>4</v>
      </c>
      <c r="H27" s="2">
        <f>SUMIFS(Matches!$H$2:$H$73,Matches!$D$2:$D$73,A27,Matches!$E$2:$E$73,B27)+SUMIFS(Matches!$G$2:$G$73,Matches!$D$2:$D$73,A27,Matches!$F$2:$F$73,B27)</f>
        <v>10</v>
      </c>
      <c r="I27" s="2">
        <f t="shared" si="1"/>
        <v>-6</v>
      </c>
      <c r="J27" s="2">
        <f t="shared" si="2"/>
        <v>1</v>
      </c>
      <c r="K27" s="2" cm="1">
        <f t="array" ref="K27">1+SUMPRODUCT(($A$2:$A$49=A27)*(($J$2:$J$49&gt;J27)+(($J$2:$J$49=J27)*($I$2:$I$49&gt;I27))+(($J$2:$J$49=J27)*($I$2:$I$49=I27)*($G$2:$G$49&gt;G27))))</f>
        <v>4</v>
      </c>
      <c r="L27" s="1" t="str">
        <f t="shared" si="3"/>
        <v>G4</v>
      </c>
      <c r="M27" s="8" t="str">
        <f t="shared" si="4"/>
        <v/>
      </c>
      <c r="N27" s="1"/>
      <c r="O27" s="1"/>
      <c r="P27" s="1"/>
      <c r="Q27" s="1"/>
      <c r="R27" s="1"/>
      <c r="S27" s="1"/>
      <c r="T27" s="1"/>
      <c r="U27" s="1"/>
    </row>
    <row r="28" spans="1:21" x14ac:dyDescent="0.35">
      <c r="A28" s="1" t="s">
        <v>44</v>
      </c>
      <c r="B28" s="1" t="s">
        <v>47</v>
      </c>
      <c r="C28" s="2">
        <f>COUNTIFS(Matches!$D$2:$D$73,A28,Matches!$E$2:$E$73,B28,Matches!$I$2:$I$73,TRUE)+COUNTIFS(Matches!$D$2:$D$73,A28,Matches!$F$2:$F$73,B28,Matches!$I$2:$I$73,TRUE)</f>
        <v>3</v>
      </c>
      <c r="D28" s="2" cm="1">
        <f t="array" ref="D28">SUMPRODUCT((Matches!$D$2:$D$73=A28)*(Matches!$I$2:$I$73=TRUE)*(((Matches!$E$2:$E$73=B28)*(Matches!$G$2:$G$73&gt;Matches!$H$2:$H$73))+((Matches!$F$2:$F$73=B28)*(Matches!$H$2:$H$73&gt;Matches!$G$2:$G$73))))</f>
        <v>1</v>
      </c>
      <c r="E28" s="2" cm="1">
        <f t="array" ref="E28">SUMPRODUCT((Matches!$D$2:$D$73=A28)*(Matches!$I$2:$I$73=TRUE)*((Matches!$E$2:$E$73=B28)+(Matches!$F$2:$F$73=B28))*(Matches!$G$2:$G$73=Matches!$H$2:$H$73))</f>
        <v>2</v>
      </c>
      <c r="F28" s="2">
        <f t="shared" si="0"/>
        <v>0</v>
      </c>
      <c r="G28" s="2">
        <f>SUMIFS(Matches!$G$2:$G$73,Matches!$D$2:$D$73,A28,Matches!$E$2:$E$73,B28)+SUMIFS(Matches!$H$2:$H$73,Matches!$D$2:$D$73,A28,Matches!$F$2:$F$73,B28)</f>
        <v>6</v>
      </c>
      <c r="H28" s="2">
        <f>SUMIFS(Matches!$H$2:$H$73,Matches!$D$2:$D$73,A28,Matches!$E$2:$E$73,B28)+SUMIFS(Matches!$G$2:$G$73,Matches!$D$2:$D$73,A28,Matches!$F$2:$F$73,B28)</f>
        <v>2</v>
      </c>
      <c r="I28" s="2">
        <f t="shared" si="1"/>
        <v>4</v>
      </c>
      <c r="J28" s="2">
        <f t="shared" si="2"/>
        <v>5</v>
      </c>
      <c r="K28" s="2" cm="1">
        <f t="array" ref="K28">1+SUMPRODUCT(($A$2:$A$49=A28)*(($J$2:$J$49&gt;J28)+(($J$2:$J$49=J28)*($I$2:$I$49&gt;I28))+(($J$2:$J$49=J28)*($I$2:$I$49=I28)*($G$2:$G$49&gt;G28))))</f>
        <v>1</v>
      </c>
      <c r="L28" s="1" t="str">
        <f t="shared" si="3"/>
        <v>G1</v>
      </c>
      <c r="M28" s="8" t="str">
        <f t="shared" si="4"/>
        <v>Qualified</v>
      </c>
      <c r="N28" s="1"/>
      <c r="O28" s="1"/>
      <c r="P28" s="1"/>
      <c r="Q28" s="1"/>
      <c r="R28" s="1"/>
      <c r="S28" s="1"/>
      <c r="T28" s="1"/>
      <c r="U28" s="1"/>
    </row>
    <row r="29" spans="1:21" x14ac:dyDescent="0.35">
      <c r="A29" s="1" t="s">
        <v>44</v>
      </c>
      <c r="B29" s="1" t="s">
        <v>48</v>
      </c>
      <c r="C29" s="2">
        <f>COUNTIFS(Matches!$D$2:$D$73,A29,Matches!$E$2:$E$73,B29,Matches!$I$2:$I$73,TRUE)+COUNTIFS(Matches!$D$2:$D$73,A29,Matches!$F$2:$F$73,B29,Matches!$I$2:$I$73,TRUE)</f>
        <v>3</v>
      </c>
      <c r="D29" s="2" cm="1">
        <f t="array" ref="D29">SUMPRODUCT((Matches!$D$2:$D$73=A29)*(Matches!$I$2:$I$73=TRUE)*(((Matches!$E$2:$E$73=B29)*(Matches!$G$2:$G$73&gt;Matches!$H$2:$H$73))+((Matches!$F$2:$F$73=B29)*(Matches!$H$2:$H$73&gt;Matches!$G$2:$G$73))))</f>
        <v>1</v>
      </c>
      <c r="E29" s="2" cm="1">
        <f t="array" ref="E29">SUMPRODUCT((Matches!$D$2:$D$73=A29)*(Matches!$I$2:$I$73=TRUE)*((Matches!$E$2:$E$73=B29)+(Matches!$F$2:$F$73=B29))*(Matches!$G$2:$G$73=Matches!$H$2:$H$73))</f>
        <v>2</v>
      </c>
      <c r="F29" s="2">
        <f t="shared" si="0"/>
        <v>0</v>
      </c>
      <c r="G29" s="2">
        <f>SUMIFS(Matches!$G$2:$G$73,Matches!$D$2:$D$73,A29,Matches!$E$2:$E$73,B29)+SUMIFS(Matches!$H$2:$H$73,Matches!$D$2:$D$73,A29,Matches!$F$2:$F$73,B29)</f>
        <v>5</v>
      </c>
      <c r="H29" s="2">
        <f>SUMIFS(Matches!$H$2:$H$73,Matches!$D$2:$D$73,A29,Matches!$E$2:$E$73,B29)+SUMIFS(Matches!$G$2:$G$73,Matches!$D$2:$D$73,A29,Matches!$F$2:$F$73,B29)</f>
        <v>3</v>
      </c>
      <c r="I29" s="2">
        <f t="shared" si="1"/>
        <v>2</v>
      </c>
      <c r="J29" s="2">
        <f t="shared" si="2"/>
        <v>5</v>
      </c>
      <c r="K29" s="2" cm="1">
        <f t="array" ref="K29">1+SUMPRODUCT(($A$2:$A$49=A29)*(($J$2:$J$49&gt;J29)+(($J$2:$J$49=J29)*($I$2:$I$49&gt;I29))+(($J$2:$J$49=J29)*($I$2:$I$49=I29)*($G$2:$G$49&gt;G29))))</f>
        <v>2</v>
      </c>
      <c r="L29" s="1" t="str">
        <f t="shared" si="3"/>
        <v>G2</v>
      </c>
      <c r="M29" s="8" t="str">
        <f t="shared" si="4"/>
        <v>Qualified</v>
      </c>
      <c r="N29" s="1"/>
      <c r="O29" s="1"/>
      <c r="P29" s="1"/>
      <c r="Q29" s="1"/>
      <c r="R29" s="1"/>
      <c r="S29" s="1"/>
      <c r="T29" s="1"/>
      <c r="U29" s="1"/>
    </row>
    <row r="30" spans="1:21" hidden="1" x14ac:dyDescent="0.35">
      <c r="A30" s="1" t="s">
        <v>49</v>
      </c>
      <c r="B30" s="1" t="s">
        <v>50</v>
      </c>
      <c r="C30" s="2">
        <f>COUNTIFS(Matches!$D$2:$D$73,A30,Matches!$E$2:$E$73,B30,Matches!$I$2:$I$73,TRUE)+COUNTIFS(Matches!$D$2:$D$73,A30,Matches!$F$2:$F$73,B30,Matches!$I$2:$I$73,TRUE)</f>
        <v>3</v>
      </c>
      <c r="D30" s="2" cm="1">
        <f t="array" ref="D30">SUMPRODUCT((Matches!$D$2:$D$73=A30)*(Matches!$I$2:$I$73=TRUE)*(((Matches!$E$2:$E$73=B30)*(Matches!$G$2:$G$73&gt;Matches!$H$2:$H$73))+((Matches!$F$2:$F$73=B30)*(Matches!$H$2:$H$73&gt;Matches!$G$2:$G$73))))</f>
        <v>0</v>
      </c>
      <c r="E30" s="2" cm="1">
        <f t="array" ref="E30">SUMPRODUCT((Matches!$D$2:$D$73=A30)*(Matches!$I$2:$I$73=TRUE)*((Matches!$E$2:$E$73=B30)+(Matches!$F$2:$F$73=B30))*(Matches!$G$2:$G$73=Matches!$H$2:$H$73))</f>
        <v>2</v>
      </c>
      <c r="F30" s="2">
        <f t="shared" si="0"/>
        <v>1</v>
      </c>
      <c r="G30" s="2">
        <f>SUMIFS(Matches!$G$2:$G$73,Matches!$D$2:$D$73,A30,Matches!$E$2:$E$73,B30)+SUMIFS(Matches!$H$2:$H$73,Matches!$D$2:$D$73,A30,Matches!$F$2:$F$73,B30)</f>
        <v>1</v>
      </c>
      <c r="H30" s="2">
        <f>SUMIFS(Matches!$H$2:$H$73,Matches!$D$2:$D$73,A30,Matches!$E$2:$E$73,B30)+SUMIFS(Matches!$G$2:$G$73,Matches!$D$2:$D$73,A30,Matches!$F$2:$F$73,B30)</f>
        <v>5</v>
      </c>
      <c r="I30" s="2">
        <f t="shared" si="1"/>
        <v>-4</v>
      </c>
      <c r="J30" s="2">
        <f t="shared" si="2"/>
        <v>2</v>
      </c>
      <c r="K30" s="2" cm="1">
        <f t="array" ref="K30">1+SUMPRODUCT(($A$2:$A$49=A30)*(($J$2:$J$49&gt;J30)+(($J$2:$J$49=J30)*($I$2:$I$49&gt;I30))+(($J$2:$J$49=J30)*($I$2:$I$49=I30)*($G$2:$G$49&gt;G30))))</f>
        <v>4</v>
      </c>
      <c r="L30" s="1" t="str">
        <f t="shared" si="3"/>
        <v>H4</v>
      </c>
      <c r="M30" s="8" t="str">
        <f t="shared" si="4"/>
        <v/>
      </c>
      <c r="N30" s="1"/>
      <c r="O30" s="1"/>
      <c r="P30" s="1"/>
      <c r="Q30" s="1"/>
      <c r="R30" s="1"/>
      <c r="S30" s="1"/>
      <c r="T30" s="1"/>
      <c r="U30" s="1"/>
    </row>
    <row r="31" spans="1:21" x14ac:dyDescent="0.35">
      <c r="A31" s="1" t="s">
        <v>49</v>
      </c>
      <c r="B31" s="1" t="s">
        <v>51</v>
      </c>
      <c r="C31" s="2">
        <f>COUNTIFS(Matches!$D$2:$D$73,A31,Matches!$E$2:$E$73,B31,Matches!$I$2:$I$73,TRUE)+COUNTIFS(Matches!$D$2:$D$73,A31,Matches!$F$2:$F$73,B31,Matches!$I$2:$I$73,TRUE)</f>
        <v>3</v>
      </c>
      <c r="D31" s="2" cm="1">
        <f t="array" ref="D31">SUMPRODUCT((Matches!$D$2:$D$73=A31)*(Matches!$I$2:$I$73=TRUE)*(((Matches!$E$2:$E$73=B31)*(Matches!$G$2:$G$73&gt;Matches!$H$2:$H$73))+((Matches!$F$2:$F$73=B31)*(Matches!$H$2:$H$73&gt;Matches!$G$2:$G$73))))</f>
        <v>0</v>
      </c>
      <c r="E31" s="2" cm="1">
        <f t="array" ref="E31">SUMPRODUCT((Matches!$D$2:$D$73=A31)*(Matches!$I$2:$I$73=TRUE)*((Matches!$E$2:$E$73=B31)+(Matches!$F$2:$F$73=B31))*(Matches!$G$2:$G$73=Matches!$H$2:$H$73))</f>
        <v>2</v>
      </c>
      <c r="F31" s="2">
        <f t="shared" si="0"/>
        <v>1</v>
      </c>
      <c r="G31" s="2">
        <f>SUMIFS(Matches!$G$2:$G$73,Matches!$D$2:$D$73,A31,Matches!$E$2:$E$73,B31)+SUMIFS(Matches!$H$2:$H$73,Matches!$D$2:$D$73,A31,Matches!$F$2:$F$73,B31)</f>
        <v>3</v>
      </c>
      <c r="H31" s="2">
        <f>SUMIFS(Matches!$H$2:$H$73,Matches!$D$2:$D$73,A31,Matches!$E$2:$E$73,B31)+SUMIFS(Matches!$G$2:$G$73,Matches!$D$2:$D$73,A31,Matches!$F$2:$F$73,B31)</f>
        <v>4</v>
      </c>
      <c r="I31" s="2">
        <f t="shared" si="1"/>
        <v>-1</v>
      </c>
      <c r="J31" s="2">
        <f t="shared" si="2"/>
        <v>2</v>
      </c>
      <c r="K31" s="2" cm="1">
        <f t="array" ref="K31">1+SUMPRODUCT(($A$2:$A$49=A31)*(($J$2:$J$49&gt;J31)+(($J$2:$J$49=J31)*($I$2:$I$49&gt;I31))+(($J$2:$J$49=J31)*($I$2:$I$49=I31)*($G$2:$G$49&gt;G31))))</f>
        <v>3</v>
      </c>
      <c r="L31" s="1" t="str">
        <f t="shared" si="3"/>
        <v>H3</v>
      </c>
      <c r="M31" s="8" t="str">
        <f t="shared" si="4"/>
        <v>Third-place pool</v>
      </c>
      <c r="N31" s="1"/>
      <c r="O31" s="1"/>
      <c r="P31" s="1"/>
      <c r="Q31" s="1"/>
      <c r="R31" s="1"/>
      <c r="S31" s="1"/>
      <c r="T31" s="1"/>
      <c r="U31" s="1"/>
    </row>
    <row r="32" spans="1:21" x14ac:dyDescent="0.35">
      <c r="A32" s="1" t="s">
        <v>49</v>
      </c>
      <c r="B32" s="1" t="s">
        <v>52</v>
      </c>
      <c r="C32" s="2">
        <f>COUNTIFS(Matches!$D$2:$D$73,A32,Matches!$E$2:$E$73,B32,Matches!$I$2:$I$73,TRUE)+COUNTIFS(Matches!$D$2:$D$73,A32,Matches!$F$2:$F$73,B32,Matches!$I$2:$I$73,TRUE)</f>
        <v>3</v>
      </c>
      <c r="D32" s="2" cm="1">
        <f t="array" ref="D32">SUMPRODUCT((Matches!$D$2:$D$73=A32)*(Matches!$I$2:$I$73=TRUE)*(((Matches!$E$2:$E$73=B32)*(Matches!$G$2:$G$73&gt;Matches!$H$2:$H$73))+((Matches!$F$2:$F$73=B32)*(Matches!$H$2:$H$73&gt;Matches!$G$2:$G$73))))</f>
        <v>2</v>
      </c>
      <c r="E32" s="2" cm="1">
        <f t="array" ref="E32">SUMPRODUCT((Matches!$D$2:$D$73=A32)*(Matches!$I$2:$I$73=TRUE)*((Matches!$E$2:$E$73=B32)+(Matches!$F$2:$F$73=B32))*(Matches!$G$2:$G$73=Matches!$H$2:$H$73))</f>
        <v>1</v>
      </c>
      <c r="F32" s="2">
        <f t="shared" si="0"/>
        <v>0</v>
      </c>
      <c r="G32" s="2">
        <f>SUMIFS(Matches!$G$2:$G$73,Matches!$D$2:$D$73,A32,Matches!$E$2:$E$73,B32)+SUMIFS(Matches!$H$2:$H$73,Matches!$D$2:$D$73,A32,Matches!$F$2:$F$73,B32)</f>
        <v>5</v>
      </c>
      <c r="H32" s="2">
        <f>SUMIFS(Matches!$H$2:$H$73,Matches!$D$2:$D$73,A32,Matches!$E$2:$E$73,B32)+SUMIFS(Matches!$G$2:$G$73,Matches!$D$2:$D$73,A32,Matches!$F$2:$F$73,B32)</f>
        <v>0</v>
      </c>
      <c r="I32" s="2">
        <f t="shared" si="1"/>
        <v>5</v>
      </c>
      <c r="J32" s="2">
        <f t="shared" si="2"/>
        <v>7</v>
      </c>
      <c r="K32" s="2" cm="1">
        <f t="array" ref="K32">1+SUMPRODUCT(($A$2:$A$49=A32)*(($J$2:$J$49&gt;J32)+(($J$2:$J$49=J32)*($I$2:$I$49&gt;I32))+(($J$2:$J$49=J32)*($I$2:$I$49=I32)*($G$2:$G$49&gt;G32))))</f>
        <v>1</v>
      </c>
      <c r="L32" s="1" t="str">
        <f t="shared" si="3"/>
        <v>H1</v>
      </c>
      <c r="M32" s="8" t="str">
        <f t="shared" si="4"/>
        <v>Qualified</v>
      </c>
      <c r="N32" s="1"/>
      <c r="O32" s="1"/>
      <c r="P32" s="1"/>
      <c r="Q32" s="1"/>
      <c r="R32" s="1"/>
      <c r="S32" s="1"/>
      <c r="T32" s="1"/>
      <c r="U32" s="1"/>
    </row>
    <row r="33" spans="1:21" x14ac:dyDescent="0.35">
      <c r="A33" s="1" t="s">
        <v>49</v>
      </c>
      <c r="B33" s="1" t="s">
        <v>53</v>
      </c>
      <c r="C33" s="2">
        <f>COUNTIFS(Matches!$D$2:$D$73,A33,Matches!$E$2:$E$73,B33,Matches!$I$2:$I$73,TRUE)+COUNTIFS(Matches!$D$2:$D$73,A33,Matches!$F$2:$F$73,B33,Matches!$I$2:$I$73,TRUE)</f>
        <v>3</v>
      </c>
      <c r="D33" s="2" cm="1">
        <f t="array" ref="D33">SUMPRODUCT((Matches!$D$2:$D$73=A33)*(Matches!$I$2:$I$73=TRUE)*(((Matches!$E$2:$E$73=B33)*(Matches!$G$2:$G$73&gt;Matches!$H$2:$H$73))+((Matches!$F$2:$F$73=B33)*(Matches!$H$2:$H$73&gt;Matches!$G$2:$G$73))))</f>
        <v>0</v>
      </c>
      <c r="E33" s="2" cm="1">
        <f t="array" ref="E33">SUMPRODUCT((Matches!$D$2:$D$73=A33)*(Matches!$I$2:$I$73=TRUE)*((Matches!$E$2:$E$73=B33)+(Matches!$F$2:$F$73=B33))*(Matches!$G$2:$G$73=Matches!$H$2:$H$73))</f>
        <v>3</v>
      </c>
      <c r="F33" s="2">
        <f t="shared" si="0"/>
        <v>0</v>
      </c>
      <c r="G33" s="2">
        <f>SUMIFS(Matches!$G$2:$G$73,Matches!$D$2:$D$73,A33,Matches!$E$2:$E$73,B33)+SUMIFS(Matches!$H$2:$H$73,Matches!$D$2:$D$73,A33,Matches!$F$2:$F$73,B33)</f>
        <v>2</v>
      </c>
      <c r="H33" s="2">
        <f>SUMIFS(Matches!$H$2:$H$73,Matches!$D$2:$D$73,A33,Matches!$E$2:$E$73,B33)+SUMIFS(Matches!$G$2:$G$73,Matches!$D$2:$D$73,A33,Matches!$F$2:$F$73,B33)</f>
        <v>2</v>
      </c>
      <c r="I33" s="2">
        <f t="shared" si="1"/>
        <v>0</v>
      </c>
      <c r="J33" s="2">
        <f t="shared" si="2"/>
        <v>3</v>
      </c>
      <c r="K33" s="2" cm="1">
        <f t="array" ref="K33">1+SUMPRODUCT(($A$2:$A$49=A33)*(($J$2:$J$49&gt;J33)+(($J$2:$J$49=J33)*($I$2:$I$49&gt;I33))+(($J$2:$J$49=J33)*($I$2:$I$49=I33)*($G$2:$G$49&gt;G33))))</f>
        <v>2</v>
      </c>
      <c r="L33" s="1" t="str">
        <f t="shared" si="3"/>
        <v>H2</v>
      </c>
      <c r="M33" s="8" t="str">
        <f t="shared" si="4"/>
        <v>Qualified</v>
      </c>
      <c r="N33" s="1"/>
      <c r="O33" s="1"/>
      <c r="P33" s="1"/>
      <c r="Q33" s="1"/>
      <c r="R33" s="1"/>
      <c r="S33" s="1"/>
      <c r="T33" s="1"/>
      <c r="U33" s="1"/>
    </row>
    <row r="34" spans="1:21" x14ac:dyDescent="0.35">
      <c r="A34" s="1" t="s">
        <v>54</v>
      </c>
      <c r="B34" s="1" t="s">
        <v>55</v>
      </c>
      <c r="C34" s="2">
        <f>COUNTIFS(Matches!$D$2:$D$73,A34,Matches!$E$2:$E$73,B34,Matches!$I$2:$I$73,TRUE)+COUNTIFS(Matches!$D$2:$D$73,A34,Matches!$F$2:$F$73,B34,Matches!$I$2:$I$73,TRUE)</f>
        <v>3</v>
      </c>
      <c r="D34" s="2" cm="1">
        <f t="array" ref="D34">SUMPRODUCT((Matches!$D$2:$D$73=A34)*(Matches!$I$2:$I$73=TRUE)*(((Matches!$E$2:$E$73=B34)*(Matches!$G$2:$G$73&gt;Matches!$H$2:$H$73))+((Matches!$F$2:$F$73=B34)*(Matches!$H$2:$H$73&gt;Matches!$G$2:$G$73))))</f>
        <v>3</v>
      </c>
      <c r="E34" s="2" cm="1">
        <f t="array" ref="E34">SUMPRODUCT((Matches!$D$2:$D$73=A34)*(Matches!$I$2:$I$73=TRUE)*((Matches!$E$2:$E$73=B34)+(Matches!$F$2:$F$73=B34))*(Matches!$G$2:$G$73=Matches!$H$2:$H$73))</f>
        <v>0</v>
      </c>
      <c r="F34" s="2">
        <f t="shared" si="0"/>
        <v>0</v>
      </c>
      <c r="G34" s="2">
        <f>SUMIFS(Matches!$G$2:$G$73,Matches!$D$2:$D$73,A34,Matches!$E$2:$E$73,B34)+SUMIFS(Matches!$H$2:$H$73,Matches!$D$2:$D$73,A34,Matches!$F$2:$F$73,B34)</f>
        <v>10</v>
      </c>
      <c r="H34" s="2">
        <f>SUMIFS(Matches!$H$2:$H$73,Matches!$D$2:$D$73,A34,Matches!$E$2:$E$73,B34)+SUMIFS(Matches!$G$2:$G$73,Matches!$D$2:$D$73,A34,Matches!$F$2:$F$73,B34)</f>
        <v>2</v>
      </c>
      <c r="I34" s="2">
        <f t="shared" si="1"/>
        <v>8</v>
      </c>
      <c r="J34" s="2">
        <f t="shared" si="2"/>
        <v>9</v>
      </c>
      <c r="K34" s="2" cm="1">
        <f t="array" ref="K34">1+SUMPRODUCT(($A$2:$A$49=A34)*(($J$2:$J$49&gt;J34)+(($J$2:$J$49=J34)*($I$2:$I$49&gt;I34))+(($J$2:$J$49=J34)*($I$2:$I$49=I34)*($G$2:$G$49&gt;G34))))</f>
        <v>1</v>
      </c>
      <c r="L34" s="1" t="str">
        <f t="shared" si="3"/>
        <v>I1</v>
      </c>
      <c r="M34" s="8" t="str">
        <f t="shared" si="4"/>
        <v>Qualified</v>
      </c>
      <c r="N34" s="1"/>
      <c r="O34" s="1"/>
      <c r="P34" s="1"/>
      <c r="Q34" s="1"/>
      <c r="R34" s="1"/>
      <c r="S34" s="1"/>
      <c r="T34" s="1"/>
      <c r="U34" s="1"/>
    </row>
    <row r="35" spans="1:21" x14ac:dyDescent="0.35">
      <c r="A35" s="1" t="s">
        <v>54</v>
      </c>
      <c r="B35" s="1" t="s">
        <v>56</v>
      </c>
      <c r="C35" s="2">
        <f>COUNTIFS(Matches!$D$2:$D$73,A35,Matches!$E$2:$E$73,B35,Matches!$I$2:$I$73,TRUE)+COUNTIFS(Matches!$D$2:$D$73,A35,Matches!$F$2:$F$73,B35,Matches!$I$2:$I$73,TRUE)</f>
        <v>3</v>
      </c>
      <c r="D35" s="2" cm="1">
        <f t="array" ref="D35">SUMPRODUCT((Matches!$D$2:$D$73=A35)*(Matches!$I$2:$I$73=TRUE)*(((Matches!$E$2:$E$73=B35)*(Matches!$G$2:$G$73&gt;Matches!$H$2:$H$73))+((Matches!$F$2:$F$73=B35)*(Matches!$H$2:$H$73&gt;Matches!$G$2:$G$73))))</f>
        <v>1</v>
      </c>
      <c r="E35" s="2" cm="1">
        <f t="array" ref="E35">SUMPRODUCT((Matches!$D$2:$D$73=A35)*(Matches!$I$2:$I$73=TRUE)*((Matches!$E$2:$E$73=B35)+(Matches!$F$2:$F$73=B35))*(Matches!$G$2:$G$73=Matches!$H$2:$H$73))</f>
        <v>0</v>
      </c>
      <c r="F35" s="2">
        <f t="shared" si="0"/>
        <v>2</v>
      </c>
      <c r="G35" s="2">
        <f>SUMIFS(Matches!$G$2:$G$73,Matches!$D$2:$D$73,A35,Matches!$E$2:$E$73,B35)+SUMIFS(Matches!$H$2:$H$73,Matches!$D$2:$D$73,A35,Matches!$F$2:$F$73,B35)</f>
        <v>8</v>
      </c>
      <c r="H35" s="2">
        <f>SUMIFS(Matches!$H$2:$H$73,Matches!$D$2:$D$73,A35,Matches!$E$2:$E$73,B35)+SUMIFS(Matches!$G$2:$G$73,Matches!$D$2:$D$73,A35,Matches!$F$2:$F$73,B35)</f>
        <v>6</v>
      </c>
      <c r="I35" s="2">
        <f t="shared" si="1"/>
        <v>2</v>
      </c>
      <c r="J35" s="2">
        <f t="shared" si="2"/>
        <v>3</v>
      </c>
      <c r="K35" s="2" cm="1">
        <f t="array" ref="K35">1+SUMPRODUCT(($A$2:$A$49=A35)*(($J$2:$J$49&gt;J35)+(($J$2:$J$49=J35)*($I$2:$I$49&gt;I35))+(($J$2:$J$49=J35)*($I$2:$I$49=I35)*($G$2:$G$49&gt;G35))))</f>
        <v>3</v>
      </c>
      <c r="L35" s="1" t="str">
        <f t="shared" si="3"/>
        <v>I3</v>
      </c>
      <c r="M35" s="8" t="str">
        <f t="shared" si="4"/>
        <v>Third-place pool</v>
      </c>
      <c r="N35" s="1"/>
      <c r="O35" s="1"/>
      <c r="P35" s="1"/>
      <c r="Q35" s="1"/>
      <c r="R35" s="1"/>
      <c r="S35" s="1"/>
      <c r="T35" s="1"/>
      <c r="U35" s="1"/>
    </row>
    <row r="36" spans="1:21" hidden="1" x14ac:dyDescent="0.35">
      <c r="A36" s="1" t="s">
        <v>54</v>
      </c>
      <c r="B36" s="1" t="s">
        <v>57</v>
      </c>
      <c r="C36" s="2">
        <f>COUNTIFS(Matches!$D$2:$D$73,A36,Matches!$E$2:$E$73,B36,Matches!$I$2:$I$73,TRUE)+COUNTIFS(Matches!$D$2:$D$73,A36,Matches!$F$2:$F$73,B36,Matches!$I$2:$I$73,TRUE)</f>
        <v>3</v>
      </c>
      <c r="D36" s="2" cm="1">
        <f t="array" ref="D36">SUMPRODUCT((Matches!$D$2:$D$73=A36)*(Matches!$I$2:$I$73=TRUE)*(((Matches!$E$2:$E$73=B36)*(Matches!$G$2:$G$73&gt;Matches!$H$2:$H$73))+((Matches!$F$2:$F$73=B36)*(Matches!$H$2:$H$73&gt;Matches!$G$2:$G$73))))</f>
        <v>0</v>
      </c>
      <c r="E36" s="2" cm="1">
        <f t="array" ref="E36">SUMPRODUCT((Matches!$D$2:$D$73=A36)*(Matches!$I$2:$I$73=TRUE)*((Matches!$E$2:$E$73=B36)+(Matches!$F$2:$F$73=B36))*(Matches!$G$2:$G$73=Matches!$H$2:$H$73))</f>
        <v>0</v>
      </c>
      <c r="F36" s="2">
        <f t="shared" si="0"/>
        <v>3</v>
      </c>
      <c r="G36" s="2">
        <f>SUMIFS(Matches!$G$2:$G$73,Matches!$D$2:$D$73,A36,Matches!$E$2:$E$73,B36)+SUMIFS(Matches!$H$2:$H$73,Matches!$D$2:$D$73,A36,Matches!$F$2:$F$73,B36)</f>
        <v>1</v>
      </c>
      <c r="H36" s="2">
        <f>SUMIFS(Matches!$H$2:$H$73,Matches!$D$2:$D$73,A36,Matches!$E$2:$E$73,B36)+SUMIFS(Matches!$G$2:$G$73,Matches!$D$2:$D$73,A36,Matches!$F$2:$F$73,B36)</f>
        <v>12</v>
      </c>
      <c r="I36" s="2">
        <f t="shared" si="1"/>
        <v>-11</v>
      </c>
      <c r="J36" s="2">
        <f t="shared" si="2"/>
        <v>0</v>
      </c>
      <c r="K36" s="2" cm="1">
        <f t="array" ref="K36">1+SUMPRODUCT(($A$2:$A$49=A36)*(($J$2:$J$49&gt;J36)+(($J$2:$J$49=J36)*($I$2:$I$49&gt;I36))+(($J$2:$J$49=J36)*($I$2:$I$49=I36)*($G$2:$G$49&gt;G36))))</f>
        <v>4</v>
      </c>
      <c r="L36" s="1" t="str">
        <f t="shared" si="3"/>
        <v>I4</v>
      </c>
      <c r="M36" s="8" t="str">
        <f t="shared" si="4"/>
        <v/>
      </c>
      <c r="N36" s="1"/>
      <c r="O36" s="1"/>
      <c r="P36" s="1"/>
      <c r="Q36" s="1"/>
      <c r="R36" s="1"/>
      <c r="S36" s="1"/>
      <c r="T36" s="1"/>
      <c r="U36" s="1"/>
    </row>
    <row r="37" spans="1:21" x14ac:dyDescent="0.35">
      <c r="A37" s="1" t="s">
        <v>54</v>
      </c>
      <c r="B37" s="1" t="s">
        <v>58</v>
      </c>
      <c r="C37" s="2">
        <f>COUNTIFS(Matches!$D$2:$D$73,A37,Matches!$E$2:$E$73,B37,Matches!$I$2:$I$73,TRUE)+COUNTIFS(Matches!$D$2:$D$73,A37,Matches!$F$2:$F$73,B37,Matches!$I$2:$I$73,TRUE)</f>
        <v>3</v>
      </c>
      <c r="D37" s="2" cm="1">
        <f t="array" ref="D37">SUMPRODUCT((Matches!$D$2:$D$73=A37)*(Matches!$I$2:$I$73=TRUE)*(((Matches!$E$2:$E$73=B37)*(Matches!$G$2:$G$73&gt;Matches!$H$2:$H$73))+((Matches!$F$2:$F$73=B37)*(Matches!$H$2:$H$73&gt;Matches!$G$2:$G$73))))</f>
        <v>2</v>
      </c>
      <c r="E37" s="2" cm="1">
        <f t="array" ref="E37">SUMPRODUCT((Matches!$D$2:$D$73=A37)*(Matches!$I$2:$I$73=TRUE)*((Matches!$E$2:$E$73=B37)+(Matches!$F$2:$F$73=B37))*(Matches!$G$2:$G$73=Matches!$H$2:$H$73))</f>
        <v>0</v>
      </c>
      <c r="F37" s="2">
        <f t="shared" si="0"/>
        <v>1</v>
      </c>
      <c r="G37" s="2">
        <f>SUMIFS(Matches!$G$2:$G$73,Matches!$D$2:$D$73,A37,Matches!$E$2:$E$73,B37)+SUMIFS(Matches!$H$2:$H$73,Matches!$D$2:$D$73,A37,Matches!$F$2:$F$73,B37)</f>
        <v>8</v>
      </c>
      <c r="H37" s="2">
        <f>SUMIFS(Matches!$H$2:$H$73,Matches!$D$2:$D$73,A37,Matches!$E$2:$E$73,B37)+SUMIFS(Matches!$G$2:$G$73,Matches!$D$2:$D$73,A37,Matches!$F$2:$F$73,B37)</f>
        <v>7</v>
      </c>
      <c r="I37" s="2">
        <f t="shared" si="1"/>
        <v>1</v>
      </c>
      <c r="J37" s="2">
        <f t="shared" si="2"/>
        <v>6</v>
      </c>
      <c r="K37" s="2" cm="1">
        <f t="array" ref="K37">1+SUMPRODUCT(($A$2:$A$49=A37)*(($J$2:$J$49&gt;J37)+(($J$2:$J$49=J37)*($I$2:$I$49&gt;I37))+(($J$2:$J$49=J37)*($I$2:$I$49=I37)*($G$2:$G$49&gt;G37))))</f>
        <v>2</v>
      </c>
      <c r="L37" s="1" t="str">
        <f t="shared" si="3"/>
        <v>I2</v>
      </c>
      <c r="M37" s="8" t="str">
        <f t="shared" si="4"/>
        <v>Qualified</v>
      </c>
      <c r="N37" s="1"/>
      <c r="O37" s="1"/>
      <c r="P37" s="1"/>
      <c r="Q37" s="1"/>
      <c r="R37" s="1"/>
      <c r="S37" s="1"/>
      <c r="T37" s="1"/>
      <c r="U37" s="1"/>
    </row>
    <row r="38" spans="1:21" x14ac:dyDescent="0.35">
      <c r="A38" s="1" t="s">
        <v>59</v>
      </c>
      <c r="B38" s="1" t="s">
        <v>60</v>
      </c>
      <c r="C38" s="2">
        <f>COUNTIFS(Matches!$D$2:$D$73,A38,Matches!$E$2:$E$73,B38,Matches!$I$2:$I$73,TRUE)+COUNTIFS(Matches!$D$2:$D$73,A38,Matches!$F$2:$F$73,B38,Matches!$I$2:$I$73,TRUE)</f>
        <v>3</v>
      </c>
      <c r="D38" s="2" cm="1">
        <f t="array" ref="D38">SUMPRODUCT((Matches!$D$2:$D$73=A38)*(Matches!$I$2:$I$73=TRUE)*(((Matches!$E$2:$E$73=B38)*(Matches!$G$2:$G$73&gt;Matches!$H$2:$H$73))+((Matches!$F$2:$F$73=B38)*(Matches!$H$2:$H$73&gt;Matches!$G$2:$G$73))))</f>
        <v>3</v>
      </c>
      <c r="E38" s="2" cm="1">
        <f t="array" ref="E38">SUMPRODUCT((Matches!$D$2:$D$73=A38)*(Matches!$I$2:$I$73=TRUE)*((Matches!$E$2:$E$73=B38)+(Matches!$F$2:$F$73=B38))*(Matches!$G$2:$G$73=Matches!$H$2:$H$73))</f>
        <v>0</v>
      </c>
      <c r="F38" s="2">
        <f t="shared" si="0"/>
        <v>0</v>
      </c>
      <c r="G38" s="2">
        <f>SUMIFS(Matches!$G$2:$G$73,Matches!$D$2:$D$73,A38,Matches!$E$2:$E$73,B38)+SUMIFS(Matches!$H$2:$H$73,Matches!$D$2:$D$73,A38,Matches!$F$2:$F$73,B38)</f>
        <v>8</v>
      </c>
      <c r="H38" s="2">
        <f>SUMIFS(Matches!$H$2:$H$73,Matches!$D$2:$D$73,A38,Matches!$E$2:$E$73,B38)+SUMIFS(Matches!$G$2:$G$73,Matches!$D$2:$D$73,A38,Matches!$F$2:$F$73,B38)</f>
        <v>1</v>
      </c>
      <c r="I38" s="2">
        <f t="shared" si="1"/>
        <v>7</v>
      </c>
      <c r="J38" s="2">
        <f t="shared" si="2"/>
        <v>9</v>
      </c>
      <c r="K38" s="2" cm="1">
        <f t="array" ref="K38">1+SUMPRODUCT(($A$2:$A$49=A38)*(($J$2:$J$49&gt;J38)+(($J$2:$J$49=J38)*($I$2:$I$49&gt;I38))+(($J$2:$J$49=J38)*($I$2:$I$49=I38)*($G$2:$G$49&gt;G38))))</f>
        <v>1</v>
      </c>
      <c r="L38" s="1" t="str">
        <f t="shared" si="3"/>
        <v>J1</v>
      </c>
      <c r="M38" s="8" t="str">
        <f t="shared" si="4"/>
        <v>Qualified</v>
      </c>
      <c r="N38" s="1"/>
      <c r="O38" s="1"/>
      <c r="P38" s="1"/>
      <c r="Q38" s="1"/>
      <c r="R38" s="1"/>
      <c r="S38" s="1"/>
      <c r="T38" s="1"/>
      <c r="U38" s="1"/>
    </row>
    <row r="39" spans="1:21" x14ac:dyDescent="0.35">
      <c r="A39" s="1" t="s">
        <v>59</v>
      </c>
      <c r="B39" s="1" t="s">
        <v>61</v>
      </c>
      <c r="C39" s="2">
        <f>COUNTIFS(Matches!$D$2:$D$73,A39,Matches!$E$2:$E$73,B39,Matches!$I$2:$I$73,TRUE)+COUNTIFS(Matches!$D$2:$D$73,A39,Matches!$F$2:$F$73,B39,Matches!$I$2:$I$73,TRUE)</f>
        <v>3</v>
      </c>
      <c r="D39" s="2" cm="1">
        <f t="array" ref="D39">SUMPRODUCT((Matches!$D$2:$D$73=A39)*(Matches!$I$2:$I$73=TRUE)*(((Matches!$E$2:$E$73=B39)*(Matches!$G$2:$G$73&gt;Matches!$H$2:$H$73))+((Matches!$F$2:$F$73=B39)*(Matches!$H$2:$H$73&gt;Matches!$G$2:$G$73))))</f>
        <v>1</v>
      </c>
      <c r="E39" s="2" cm="1">
        <f t="array" ref="E39">SUMPRODUCT((Matches!$D$2:$D$73=A39)*(Matches!$I$2:$I$73=TRUE)*((Matches!$E$2:$E$73=B39)+(Matches!$F$2:$F$73=B39))*(Matches!$G$2:$G$73=Matches!$H$2:$H$73))</f>
        <v>1</v>
      </c>
      <c r="F39" s="2">
        <f t="shared" si="0"/>
        <v>1</v>
      </c>
      <c r="G39" s="2">
        <f>SUMIFS(Matches!$G$2:$G$73,Matches!$D$2:$D$73,A39,Matches!$E$2:$E$73,B39)+SUMIFS(Matches!$H$2:$H$73,Matches!$D$2:$D$73,A39,Matches!$F$2:$F$73,B39)</f>
        <v>5</v>
      </c>
      <c r="H39" s="2">
        <f>SUMIFS(Matches!$H$2:$H$73,Matches!$D$2:$D$73,A39,Matches!$E$2:$E$73,B39)+SUMIFS(Matches!$G$2:$G$73,Matches!$D$2:$D$73,A39,Matches!$F$2:$F$73,B39)</f>
        <v>7</v>
      </c>
      <c r="I39" s="2">
        <f t="shared" si="1"/>
        <v>-2</v>
      </c>
      <c r="J39" s="2">
        <f t="shared" si="2"/>
        <v>4</v>
      </c>
      <c r="K39" s="2" cm="1">
        <f t="array" ref="K39">1+SUMPRODUCT(($A$2:$A$49=A39)*(($J$2:$J$49&gt;J39)+(($J$2:$J$49=J39)*($I$2:$I$49&gt;I39))+(($J$2:$J$49=J39)*($I$2:$I$49=I39)*($G$2:$G$49&gt;G39))))</f>
        <v>3</v>
      </c>
      <c r="L39" s="1" t="str">
        <f t="shared" si="3"/>
        <v>J3</v>
      </c>
      <c r="M39" s="8" t="str">
        <f t="shared" si="4"/>
        <v>Third-place pool</v>
      </c>
      <c r="N39" s="1"/>
      <c r="O39" s="1"/>
      <c r="P39" s="1"/>
      <c r="Q39" s="1"/>
      <c r="R39" s="1"/>
      <c r="S39" s="1"/>
      <c r="T39" s="1"/>
      <c r="U39" s="1"/>
    </row>
    <row r="40" spans="1:21" x14ac:dyDescent="0.35">
      <c r="A40" s="1" t="s">
        <v>59</v>
      </c>
      <c r="B40" s="1" t="s">
        <v>62</v>
      </c>
      <c r="C40" s="2">
        <f>COUNTIFS(Matches!$D$2:$D$73,A40,Matches!$E$2:$E$73,B40,Matches!$I$2:$I$73,TRUE)+COUNTIFS(Matches!$D$2:$D$73,A40,Matches!$F$2:$F$73,B40,Matches!$I$2:$I$73,TRUE)</f>
        <v>3</v>
      </c>
      <c r="D40" s="2" cm="1">
        <f t="array" ref="D40">SUMPRODUCT((Matches!$D$2:$D$73=A40)*(Matches!$I$2:$I$73=TRUE)*(((Matches!$E$2:$E$73=B40)*(Matches!$G$2:$G$73&gt;Matches!$H$2:$H$73))+((Matches!$F$2:$F$73=B40)*(Matches!$H$2:$H$73&gt;Matches!$G$2:$G$73))))</f>
        <v>1</v>
      </c>
      <c r="E40" s="2" cm="1">
        <f t="array" ref="E40">SUMPRODUCT((Matches!$D$2:$D$73=A40)*(Matches!$I$2:$I$73=TRUE)*((Matches!$E$2:$E$73=B40)+(Matches!$F$2:$F$73=B40))*(Matches!$G$2:$G$73=Matches!$H$2:$H$73))</f>
        <v>1</v>
      </c>
      <c r="F40" s="2">
        <f t="shared" si="0"/>
        <v>1</v>
      </c>
      <c r="G40" s="2">
        <f>SUMIFS(Matches!$G$2:$G$73,Matches!$D$2:$D$73,A40,Matches!$E$2:$E$73,B40)+SUMIFS(Matches!$H$2:$H$73,Matches!$D$2:$D$73,A40,Matches!$F$2:$F$73,B40)</f>
        <v>6</v>
      </c>
      <c r="H40" s="2">
        <f>SUMIFS(Matches!$H$2:$H$73,Matches!$D$2:$D$73,A40,Matches!$E$2:$E$73,B40)+SUMIFS(Matches!$G$2:$G$73,Matches!$D$2:$D$73,A40,Matches!$F$2:$F$73,B40)</f>
        <v>6</v>
      </c>
      <c r="I40" s="2">
        <f t="shared" si="1"/>
        <v>0</v>
      </c>
      <c r="J40" s="2">
        <f t="shared" si="2"/>
        <v>4</v>
      </c>
      <c r="K40" s="2" cm="1">
        <f t="array" ref="K40">1+SUMPRODUCT(($A$2:$A$49=A40)*(($J$2:$J$49&gt;J40)+(($J$2:$J$49=J40)*($I$2:$I$49&gt;I40))+(($J$2:$J$49=J40)*($I$2:$I$49=I40)*($G$2:$G$49&gt;G40))))</f>
        <v>2</v>
      </c>
      <c r="L40" s="1" t="str">
        <f t="shared" si="3"/>
        <v>J2</v>
      </c>
      <c r="M40" s="8" t="str">
        <f t="shared" si="4"/>
        <v>Qualified</v>
      </c>
      <c r="N40" s="1"/>
      <c r="O40" s="1"/>
      <c r="P40" s="1"/>
      <c r="Q40" s="1"/>
      <c r="R40" s="1"/>
      <c r="S40" s="1"/>
      <c r="T40" s="1"/>
      <c r="U40" s="1"/>
    </row>
    <row r="41" spans="1:21" hidden="1" x14ac:dyDescent="0.35">
      <c r="A41" s="1" t="s">
        <v>59</v>
      </c>
      <c r="B41" s="1" t="s">
        <v>63</v>
      </c>
      <c r="C41" s="2">
        <f>COUNTIFS(Matches!$D$2:$D$73,A41,Matches!$E$2:$E$73,B41,Matches!$I$2:$I$73,TRUE)+COUNTIFS(Matches!$D$2:$D$73,A41,Matches!$F$2:$F$73,B41,Matches!$I$2:$I$73,TRUE)</f>
        <v>3</v>
      </c>
      <c r="D41" s="2" cm="1">
        <f t="array" ref="D41">SUMPRODUCT((Matches!$D$2:$D$73=A41)*(Matches!$I$2:$I$73=TRUE)*(((Matches!$E$2:$E$73=B41)*(Matches!$G$2:$G$73&gt;Matches!$H$2:$H$73))+((Matches!$F$2:$F$73=B41)*(Matches!$H$2:$H$73&gt;Matches!$G$2:$G$73))))</f>
        <v>0</v>
      </c>
      <c r="E41" s="2" cm="1">
        <f t="array" ref="E41">SUMPRODUCT((Matches!$D$2:$D$73=A41)*(Matches!$I$2:$I$73=TRUE)*((Matches!$E$2:$E$73=B41)+(Matches!$F$2:$F$73=B41))*(Matches!$G$2:$G$73=Matches!$H$2:$H$73))</f>
        <v>0</v>
      </c>
      <c r="F41" s="2">
        <f t="shared" si="0"/>
        <v>3</v>
      </c>
      <c r="G41" s="2">
        <f>SUMIFS(Matches!$G$2:$G$73,Matches!$D$2:$D$73,A41,Matches!$E$2:$E$73,B41)+SUMIFS(Matches!$H$2:$H$73,Matches!$D$2:$D$73,A41,Matches!$F$2:$F$73,B41)</f>
        <v>3</v>
      </c>
      <c r="H41" s="2">
        <f>SUMIFS(Matches!$H$2:$H$73,Matches!$D$2:$D$73,A41,Matches!$E$2:$E$73,B41)+SUMIFS(Matches!$G$2:$G$73,Matches!$D$2:$D$73,A41,Matches!$F$2:$F$73,B41)</f>
        <v>8</v>
      </c>
      <c r="I41" s="2">
        <f t="shared" si="1"/>
        <v>-5</v>
      </c>
      <c r="J41" s="2">
        <f t="shared" si="2"/>
        <v>0</v>
      </c>
      <c r="K41" s="2" cm="1">
        <f t="array" ref="K41">1+SUMPRODUCT(($A$2:$A$49=A41)*(($J$2:$J$49&gt;J41)+(($J$2:$J$49=J41)*($I$2:$I$49&gt;I41))+(($J$2:$J$49=J41)*($I$2:$I$49=I41)*($G$2:$G$49&gt;G41))))</f>
        <v>4</v>
      </c>
      <c r="L41" s="1" t="str">
        <f t="shared" si="3"/>
        <v>J4</v>
      </c>
      <c r="M41" s="8" t="str">
        <f t="shared" si="4"/>
        <v/>
      </c>
      <c r="N41" s="1"/>
      <c r="O41" s="1"/>
      <c r="P41" s="1"/>
      <c r="Q41" s="1"/>
      <c r="R41" s="1"/>
      <c r="S41" s="1"/>
      <c r="T41" s="1"/>
      <c r="U41" s="1"/>
    </row>
    <row r="42" spans="1:21" x14ac:dyDescent="0.35">
      <c r="A42" s="1" t="s">
        <v>64</v>
      </c>
      <c r="B42" s="1" t="s">
        <v>65</v>
      </c>
      <c r="C42" s="2">
        <f>COUNTIFS(Matches!$D$2:$D$73,A42,Matches!$E$2:$E$73,B42,Matches!$I$2:$I$73,TRUE)+COUNTIFS(Matches!$D$2:$D$73,A42,Matches!$F$2:$F$73,B42,Matches!$I$2:$I$73,TRUE)</f>
        <v>3</v>
      </c>
      <c r="D42" s="2" cm="1">
        <f t="array" ref="D42">SUMPRODUCT((Matches!$D$2:$D$73=A42)*(Matches!$I$2:$I$73=TRUE)*(((Matches!$E$2:$E$73=B42)*(Matches!$G$2:$G$73&gt;Matches!$H$2:$H$73))+((Matches!$F$2:$F$73=B42)*(Matches!$H$2:$H$73&gt;Matches!$G$2:$G$73))))</f>
        <v>1</v>
      </c>
      <c r="E42" s="2" cm="1">
        <f t="array" ref="E42">SUMPRODUCT((Matches!$D$2:$D$73=A42)*(Matches!$I$2:$I$73=TRUE)*((Matches!$E$2:$E$73=B42)+(Matches!$F$2:$F$73=B42))*(Matches!$G$2:$G$73=Matches!$H$2:$H$73))</f>
        <v>2</v>
      </c>
      <c r="F42" s="2">
        <f t="shared" si="0"/>
        <v>0</v>
      </c>
      <c r="G42" s="2">
        <f>SUMIFS(Matches!$G$2:$G$73,Matches!$D$2:$D$73,A42,Matches!$E$2:$E$73,B42)+SUMIFS(Matches!$H$2:$H$73,Matches!$D$2:$D$73,A42,Matches!$F$2:$F$73,B42)</f>
        <v>6</v>
      </c>
      <c r="H42" s="2">
        <f>SUMIFS(Matches!$H$2:$H$73,Matches!$D$2:$D$73,A42,Matches!$E$2:$E$73,B42)+SUMIFS(Matches!$G$2:$G$73,Matches!$D$2:$D$73,A42,Matches!$F$2:$F$73,B42)</f>
        <v>1</v>
      </c>
      <c r="I42" s="2">
        <f t="shared" si="1"/>
        <v>5</v>
      </c>
      <c r="J42" s="2">
        <f t="shared" si="2"/>
        <v>5</v>
      </c>
      <c r="K42" s="2" cm="1">
        <f t="array" ref="K42">1+SUMPRODUCT(($A$2:$A$49=A42)*(($J$2:$J$49&gt;J42)+(($J$2:$J$49=J42)*($I$2:$I$49&gt;I42))+(($J$2:$J$49=J42)*($I$2:$I$49=I42)*($G$2:$G$49&gt;G42))))</f>
        <v>2</v>
      </c>
      <c r="L42" s="1" t="str">
        <f t="shared" si="3"/>
        <v>K2</v>
      </c>
      <c r="M42" s="8" t="str">
        <f t="shared" si="4"/>
        <v>Qualified</v>
      </c>
      <c r="N42" s="1"/>
      <c r="O42" s="1"/>
      <c r="P42" s="1"/>
      <c r="Q42" s="1"/>
      <c r="R42" s="1"/>
      <c r="S42" s="1"/>
      <c r="T42" s="1"/>
      <c r="U42" s="1"/>
    </row>
    <row r="43" spans="1:21" x14ac:dyDescent="0.35">
      <c r="A43" s="1" t="s">
        <v>64</v>
      </c>
      <c r="B43" s="1" t="s">
        <v>66</v>
      </c>
      <c r="C43" s="2">
        <f>COUNTIFS(Matches!$D$2:$D$73,A43,Matches!$E$2:$E$73,B43,Matches!$I$2:$I$73,TRUE)+COUNTIFS(Matches!$D$2:$D$73,A43,Matches!$F$2:$F$73,B43,Matches!$I$2:$I$73,TRUE)</f>
        <v>3</v>
      </c>
      <c r="D43" s="2" cm="1">
        <f t="array" ref="D43">SUMPRODUCT((Matches!$D$2:$D$73=A43)*(Matches!$I$2:$I$73=TRUE)*(((Matches!$E$2:$E$73=B43)*(Matches!$G$2:$G$73&gt;Matches!$H$2:$H$73))+((Matches!$F$2:$F$73=B43)*(Matches!$H$2:$H$73&gt;Matches!$G$2:$G$73))))</f>
        <v>1</v>
      </c>
      <c r="E43" s="2" cm="1">
        <f t="array" ref="E43">SUMPRODUCT((Matches!$D$2:$D$73=A43)*(Matches!$I$2:$I$73=TRUE)*((Matches!$E$2:$E$73=B43)+(Matches!$F$2:$F$73=B43))*(Matches!$G$2:$G$73=Matches!$H$2:$H$73))</f>
        <v>1</v>
      </c>
      <c r="F43" s="2">
        <f t="shared" si="0"/>
        <v>1</v>
      </c>
      <c r="G43" s="2">
        <f>SUMIFS(Matches!$G$2:$G$73,Matches!$D$2:$D$73,A43,Matches!$E$2:$E$73,B43)+SUMIFS(Matches!$H$2:$H$73,Matches!$D$2:$D$73,A43,Matches!$F$2:$F$73,B43)</f>
        <v>4</v>
      </c>
      <c r="H43" s="2">
        <f>SUMIFS(Matches!$H$2:$H$73,Matches!$D$2:$D$73,A43,Matches!$E$2:$E$73,B43)+SUMIFS(Matches!$G$2:$G$73,Matches!$D$2:$D$73,A43,Matches!$F$2:$F$73,B43)</f>
        <v>3</v>
      </c>
      <c r="I43" s="2">
        <f t="shared" si="1"/>
        <v>1</v>
      </c>
      <c r="J43" s="2">
        <f t="shared" si="2"/>
        <v>4</v>
      </c>
      <c r="K43" s="2" cm="1">
        <f t="array" ref="K43">1+SUMPRODUCT(($A$2:$A$49=A43)*(($J$2:$J$49&gt;J43)+(($J$2:$J$49=J43)*($I$2:$I$49&gt;I43))+(($J$2:$J$49=J43)*($I$2:$I$49=I43)*($G$2:$G$49&gt;G43))))</f>
        <v>3</v>
      </c>
      <c r="L43" s="1" t="str">
        <f t="shared" si="3"/>
        <v>K3</v>
      </c>
      <c r="M43" s="8" t="str">
        <f t="shared" si="4"/>
        <v>Third-place pool</v>
      </c>
      <c r="N43" s="1"/>
      <c r="O43" s="1"/>
      <c r="P43" s="1"/>
      <c r="Q43" s="1"/>
      <c r="R43" s="1"/>
      <c r="S43" s="1"/>
      <c r="T43" s="1"/>
      <c r="U43" s="1"/>
    </row>
    <row r="44" spans="1:21" hidden="1" x14ac:dyDescent="0.35">
      <c r="A44" s="1" t="s">
        <v>64</v>
      </c>
      <c r="B44" s="1" t="s">
        <v>67</v>
      </c>
      <c r="C44" s="2">
        <f>COUNTIFS(Matches!$D$2:$D$73,A44,Matches!$E$2:$E$73,B44,Matches!$I$2:$I$73,TRUE)+COUNTIFS(Matches!$D$2:$D$73,A44,Matches!$F$2:$F$73,B44,Matches!$I$2:$I$73,TRUE)</f>
        <v>3</v>
      </c>
      <c r="D44" s="2" cm="1">
        <f t="array" ref="D44">SUMPRODUCT((Matches!$D$2:$D$73=A44)*(Matches!$I$2:$I$73=TRUE)*(((Matches!$E$2:$E$73=B44)*(Matches!$G$2:$G$73&gt;Matches!$H$2:$H$73))+((Matches!$F$2:$F$73=B44)*(Matches!$H$2:$H$73&gt;Matches!$G$2:$G$73))))</f>
        <v>0</v>
      </c>
      <c r="E44" s="2" cm="1">
        <f t="array" ref="E44">SUMPRODUCT((Matches!$D$2:$D$73=A44)*(Matches!$I$2:$I$73=TRUE)*((Matches!$E$2:$E$73=B44)+(Matches!$F$2:$F$73=B44))*(Matches!$G$2:$G$73=Matches!$H$2:$H$73))</f>
        <v>0</v>
      </c>
      <c r="F44" s="2">
        <f t="shared" si="0"/>
        <v>3</v>
      </c>
      <c r="G44" s="2">
        <f>SUMIFS(Matches!$G$2:$G$73,Matches!$D$2:$D$73,A44,Matches!$E$2:$E$73,B44)+SUMIFS(Matches!$H$2:$H$73,Matches!$D$2:$D$73,A44,Matches!$F$2:$F$73,B44)</f>
        <v>2</v>
      </c>
      <c r="H44" s="2">
        <f>SUMIFS(Matches!$H$2:$H$73,Matches!$D$2:$D$73,A44,Matches!$E$2:$E$73,B44)+SUMIFS(Matches!$G$2:$G$73,Matches!$D$2:$D$73,A44,Matches!$F$2:$F$73,B44)</f>
        <v>11</v>
      </c>
      <c r="I44" s="2">
        <f t="shared" si="1"/>
        <v>-9</v>
      </c>
      <c r="J44" s="2">
        <f t="shared" si="2"/>
        <v>0</v>
      </c>
      <c r="K44" s="2" cm="1">
        <f t="array" ref="K44">1+SUMPRODUCT(($A$2:$A$49=A44)*(($J$2:$J$49&gt;J44)+(($J$2:$J$49=J44)*($I$2:$I$49&gt;I44))+(($J$2:$J$49=J44)*($I$2:$I$49=I44)*($G$2:$G$49&gt;G44))))</f>
        <v>4</v>
      </c>
      <c r="L44" s="1" t="str">
        <f t="shared" si="3"/>
        <v>K4</v>
      </c>
      <c r="M44" s="8" t="str">
        <f t="shared" si="4"/>
        <v/>
      </c>
      <c r="N44" s="1"/>
      <c r="O44" s="1"/>
      <c r="P44" s="1"/>
      <c r="Q44" s="1"/>
      <c r="R44" s="1"/>
      <c r="S44" s="1"/>
      <c r="T44" s="1"/>
      <c r="U44" s="1"/>
    </row>
    <row r="45" spans="1:21" x14ac:dyDescent="0.35">
      <c r="A45" s="1" t="s">
        <v>64</v>
      </c>
      <c r="B45" s="1" t="s">
        <v>68</v>
      </c>
      <c r="C45" s="2">
        <f>COUNTIFS(Matches!$D$2:$D$73,A45,Matches!$E$2:$E$73,B45,Matches!$I$2:$I$73,TRUE)+COUNTIFS(Matches!$D$2:$D$73,A45,Matches!$F$2:$F$73,B45,Matches!$I$2:$I$73,TRUE)</f>
        <v>3</v>
      </c>
      <c r="D45" s="2" cm="1">
        <f t="array" ref="D45">SUMPRODUCT((Matches!$D$2:$D$73=A45)*(Matches!$I$2:$I$73=TRUE)*(((Matches!$E$2:$E$73=B45)*(Matches!$G$2:$G$73&gt;Matches!$H$2:$H$73))+((Matches!$F$2:$F$73=B45)*(Matches!$H$2:$H$73&gt;Matches!$G$2:$G$73))))</f>
        <v>2</v>
      </c>
      <c r="E45" s="2" cm="1">
        <f t="array" ref="E45">SUMPRODUCT((Matches!$D$2:$D$73=A45)*(Matches!$I$2:$I$73=TRUE)*((Matches!$E$2:$E$73=B45)+(Matches!$F$2:$F$73=B45))*(Matches!$G$2:$G$73=Matches!$H$2:$H$73))</f>
        <v>1</v>
      </c>
      <c r="F45" s="2">
        <f t="shared" si="0"/>
        <v>0</v>
      </c>
      <c r="G45" s="2">
        <f>SUMIFS(Matches!$G$2:$G$73,Matches!$D$2:$D$73,A45,Matches!$E$2:$E$73,B45)+SUMIFS(Matches!$H$2:$H$73,Matches!$D$2:$D$73,A45,Matches!$F$2:$F$73,B45)</f>
        <v>4</v>
      </c>
      <c r="H45" s="2">
        <f>SUMIFS(Matches!$H$2:$H$73,Matches!$D$2:$D$73,A45,Matches!$E$2:$E$73,B45)+SUMIFS(Matches!$G$2:$G$73,Matches!$D$2:$D$73,A45,Matches!$F$2:$F$73,B45)</f>
        <v>1</v>
      </c>
      <c r="I45" s="2">
        <f t="shared" si="1"/>
        <v>3</v>
      </c>
      <c r="J45" s="2">
        <f t="shared" si="2"/>
        <v>7</v>
      </c>
      <c r="K45" s="2" cm="1">
        <f t="array" ref="K45">1+SUMPRODUCT(($A$2:$A$49=A45)*(($J$2:$J$49&gt;J45)+(($J$2:$J$49=J45)*($I$2:$I$49&gt;I45))+(($J$2:$J$49=J45)*($I$2:$I$49=I45)*($G$2:$G$49&gt;G45))))</f>
        <v>1</v>
      </c>
      <c r="L45" s="1" t="str">
        <f t="shared" si="3"/>
        <v>K1</v>
      </c>
      <c r="M45" s="8" t="str">
        <f t="shared" si="4"/>
        <v>Qualified</v>
      </c>
      <c r="N45" s="1"/>
      <c r="O45" s="1"/>
      <c r="P45" s="1"/>
      <c r="Q45" s="1"/>
      <c r="R45" s="1"/>
      <c r="S45" s="1"/>
      <c r="T45" s="1"/>
      <c r="U45" s="1"/>
    </row>
    <row r="46" spans="1:21" x14ac:dyDescent="0.35">
      <c r="A46" s="1" t="s">
        <v>69</v>
      </c>
      <c r="B46" s="1" t="s">
        <v>70</v>
      </c>
      <c r="C46" s="2">
        <f>COUNTIFS(Matches!$D$2:$D$73,A46,Matches!$E$2:$E$73,B46,Matches!$I$2:$I$73,TRUE)+COUNTIFS(Matches!$D$2:$D$73,A46,Matches!$F$2:$F$73,B46,Matches!$I$2:$I$73,TRUE)</f>
        <v>3</v>
      </c>
      <c r="D46" s="2" cm="1">
        <f t="array" ref="D46">SUMPRODUCT((Matches!$D$2:$D$73=A46)*(Matches!$I$2:$I$73=TRUE)*(((Matches!$E$2:$E$73=B46)*(Matches!$G$2:$G$73&gt;Matches!$H$2:$H$73))+((Matches!$F$2:$F$73=B46)*(Matches!$H$2:$H$73&gt;Matches!$G$2:$G$73))))</f>
        <v>1</v>
      </c>
      <c r="E46" s="2" cm="1">
        <f t="array" ref="E46">SUMPRODUCT((Matches!$D$2:$D$73=A46)*(Matches!$I$2:$I$73=TRUE)*((Matches!$E$2:$E$73=B46)+(Matches!$F$2:$F$73=B46))*(Matches!$G$2:$G$73=Matches!$H$2:$H$73))</f>
        <v>1</v>
      </c>
      <c r="F46" s="2">
        <f t="shared" si="0"/>
        <v>1</v>
      </c>
      <c r="G46" s="2">
        <f>SUMIFS(Matches!$G$2:$G$73,Matches!$D$2:$D$73,A46,Matches!$E$2:$E$73,B46)+SUMIFS(Matches!$H$2:$H$73,Matches!$D$2:$D$73,A46,Matches!$F$2:$F$73,B46)</f>
        <v>2</v>
      </c>
      <c r="H46" s="2">
        <f>SUMIFS(Matches!$H$2:$H$73,Matches!$D$2:$D$73,A46,Matches!$E$2:$E$73,B46)+SUMIFS(Matches!$G$2:$G$73,Matches!$D$2:$D$73,A46,Matches!$F$2:$F$73,B46)</f>
        <v>2</v>
      </c>
      <c r="I46" s="2">
        <f t="shared" si="1"/>
        <v>0</v>
      </c>
      <c r="J46" s="2">
        <f t="shared" si="2"/>
        <v>4</v>
      </c>
      <c r="K46" s="2" cm="1">
        <f t="array" ref="K46">1+SUMPRODUCT(($A$2:$A$49=A46)*(($J$2:$J$49&gt;J46)+(($J$2:$J$49=J46)*($I$2:$I$49&gt;I46))+(($J$2:$J$49=J46)*($I$2:$I$49=I46)*($G$2:$G$49&gt;G46))))</f>
        <v>3</v>
      </c>
      <c r="L46" s="1" t="str">
        <f t="shared" si="3"/>
        <v>L3</v>
      </c>
      <c r="M46" s="8" t="str">
        <f t="shared" si="4"/>
        <v>Third-place pool</v>
      </c>
      <c r="N46" s="1"/>
      <c r="O46" s="1"/>
      <c r="P46" s="1"/>
      <c r="Q46" s="1"/>
      <c r="R46" s="1"/>
      <c r="S46" s="1"/>
      <c r="T46" s="1"/>
      <c r="U46" s="1"/>
    </row>
    <row r="47" spans="1:21" hidden="1" x14ac:dyDescent="0.35">
      <c r="A47" s="1" t="s">
        <v>69</v>
      </c>
      <c r="B47" s="1" t="s">
        <v>71</v>
      </c>
      <c r="C47" s="2">
        <f>COUNTIFS(Matches!$D$2:$D$73,A47,Matches!$E$2:$E$73,B47,Matches!$I$2:$I$73,TRUE)+COUNTIFS(Matches!$D$2:$D$73,A47,Matches!$F$2:$F$73,B47,Matches!$I$2:$I$73,TRUE)</f>
        <v>3</v>
      </c>
      <c r="D47" s="2" cm="1">
        <f t="array" ref="D47">SUMPRODUCT((Matches!$D$2:$D$73=A47)*(Matches!$I$2:$I$73=TRUE)*(((Matches!$E$2:$E$73=B47)*(Matches!$G$2:$G$73&gt;Matches!$H$2:$H$73))+((Matches!$F$2:$F$73=B47)*(Matches!$H$2:$H$73&gt;Matches!$G$2:$G$73))))</f>
        <v>0</v>
      </c>
      <c r="E47" s="2" cm="1">
        <f t="array" ref="E47">SUMPRODUCT((Matches!$D$2:$D$73=A47)*(Matches!$I$2:$I$73=TRUE)*((Matches!$E$2:$E$73=B47)+(Matches!$F$2:$F$73=B47))*(Matches!$G$2:$G$73=Matches!$H$2:$H$73))</f>
        <v>0</v>
      </c>
      <c r="F47" s="2">
        <f t="shared" si="0"/>
        <v>3</v>
      </c>
      <c r="G47" s="2">
        <f>SUMIFS(Matches!$G$2:$G$73,Matches!$D$2:$D$73,A47,Matches!$E$2:$E$73,B47)+SUMIFS(Matches!$H$2:$H$73,Matches!$D$2:$D$73,A47,Matches!$F$2:$F$73,B47)</f>
        <v>0</v>
      </c>
      <c r="H47" s="2">
        <f>SUMIFS(Matches!$H$2:$H$73,Matches!$D$2:$D$73,A47,Matches!$E$2:$E$73,B47)+SUMIFS(Matches!$G$2:$G$73,Matches!$D$2:$D$73,A47,Matches!$F$2:$F$73,B47)</f>
        <v>4</v>
      </c>
      <c r="I47" s="2">
        <f t="shared" si="1"/>
        <v>-4</v>
      </c>
      <c r="J47" s="2">
        <f t="shared" si="2"/>
        <v>0</v>
      </c>
      <c r="K47" s="2" cm="1">
        <f t="array" ref="K47">1+SUMPRODUCT(($A$2:$A$49=A47)*(($J$2:$J$49&gt;J47)+(($J$2:$J$49=J47)*($I$2:$I$49&gt;I47))+(($J$2:$J$49=J47)*($I$2:$I$49=I47)*($G$2:$G$49&gt;G47))))</f>
        <v>4</v>
      </c>
      <c r="L47" s="1" t="str">
        <f t="shared" si="3"/>
        <v>L4</v>
      </c>
      <c r="M47" s="8" t="str">
        <f t="shared" si="4"/>
        <v/>
      </c>
      <c r="N47" s="1"/>
      <c r="O47" s="1"/>
      <c r="P47" s="1"/>
      <c r="Q47" s="1"/>
      <c r="R47" s="1"/>
      <c r="S47" s="1"/>
      <c r="T47" s="1"/>
      <c r="U47" s="1"/>
    </row>
    <row r="48" spans="1:21" x14ac:dyDescent="0.35">
      <c r="A48" s="1" t="s">
        <v>69</v>
      </c>
      <c r="B48" s="1" t="s">
        <v>72</v>
      </c>
      <c r="C48" s="2">
        <f>COUNTIFS(Matches!$D$2:$D$73,A48,Matches!$E$2:$E$73,B48,Matches!$I$2:$I$73,TRUE)+COUNTIFS(Matches!$D$2:$D$73,A48,Matches!$F$2:$F$73,B48,Matches!$I$2:$I$73,TRUE)</f>
        <v>3</v>
      </c>
      <c r="D48" s="2" cm="1">
        <f t="array" ref="D48">SUMPRODUCT((Matches!$D$2:$D$73=A48)*(Matches!$I$2:$I$73=TRUE)*(((Matches!$E$2:$E$73=B48)*(Matches!$G$2:$G$73&gt;Matches!$H$2:$H$73))+((Matches!$F$2:$F$73=B48)*(Matches!$H$2:$H$73&gt;Matches!$G$2:$G$73))))</f>
        <v>2</v>
      </c>
      <c r="E48" s="2" cm="1">
        <f t="array" ref="E48">SUMPRODUCT((Matches!$D$2:$D$73=A48)*(Matches!$I$2:$I$73=TRUE)*((Matches!$E$2:$E$73=B48)+(Matches!$F$2:$F$73=B48))*(Matches!$G$2:$G$73=Matches!$H$2:$H$73))</f>
        <v>1</v>
      </c>
      <c r="F48" s="2">
        <f t="shared" si="0"/>
        <v>0</v>
      </c>
      <c r="G48" s="2">
        <f>SUMIFS(Matches!$G$2:$G$73,Matches!$D$2:$D$73,A48,Matches!$E$2:$E$73,B48)+SUMIFS(Matches!$H$2:$H$73,Matches!$D$2:$D$73,A48,Matches!$F$2:$F$73,B48)</f>
        <v>6</v>
      </c>
      <c r="H48" s="2">
        <f>SUMIFS(Matches!$H$2:$H$73,Matches!$D$2:$D$73,A48,Matches!$E$2:$E$73,B48)+SUMIFS(Matches!$G$2:$G$73,Matches!$D$2:$D$73,A48,Matches!$F$2:$F$73,B48)</f>
        <v>2</v>
      </c>
      <c r="I48" s="2">
        <f t="shared" si="1"/>
        <v>4</v>
      </c>
      <c r="J48" s="2">
        <f t="shared" si="2"/>
        <v>7</v>
      </c>
      <c r="K48" s="2" cm="1">
        <f t="array" ref="K48">1+SUMPRODUCT(($A$2:$A$49=A48)*(($J$2:$J$49&gt;J48)+(($J$2:$J$49=J48)*($I$2:$I$49&gt;I48))+(($J$2:$J$49=J48)*($I$2:$I$49=I48)*($G$2:$G$49&gt;G48))))</f>
        <v>1</v>
      </c>
      <c r="L48" s="1" t="str">
        <f t="shared" si="3"/>
        <v>L1</v>
      </c>
      <c r="M48" s="8" t="str">
        <f t="shared" si="4"/>
        <v>Qualified</v>
      </c>
      <c r="N48" s="1"/>
      <c r="O48" s="1"/>
      <c r="P48" s="1"/>
      <c r="Q48" s="1"/>
      <c r="R48" s="1"/>
      <c r="S48" s="1"/>
      <c r="T48" s="1"/>
      <c r="U48" s="1"/>
    </row>
    <row r="49" spans="1:21" x14ac:dyDescent="0.35">
      <c r="A49" s="1" t="s">
        <v>69</v>
      </c>
      <c r="B49" s="1" t="s">
        <v>73</v>
      </c>
      <c r="C49" s="2">
        <f>COUNTIFS(Matches!$D$2:$D$73,A49,Matches!$E$2:$E$73,B49,Matches!$I$2:$I$73,TRUE)+COUNTIFS(Matches!$D$2:$D$73,A49,Matches!$F$2:$F$73,B49,Matches!$I$2:$I$73,TRUE)</f>
        <v>3</v>
      </c>
      <c r="D49" s="2" cm="1">
        <f t="array" ref="D49">SUMPRODUCT((Matches!$D$2:$D$73=A49)*(Matches!$I$2:$I$73=TRUE)*(((Matches!$E$2:$E$73=B49)*(Matches!$G$2:$G$73&gt;Matches!$H$2:$H$73))+((Matches!$F$2:$F$73=B49)*(Matches!$H$2:$H$73&gt;Matches!$G$2:$G$73))))</f>
        <v>2</v>
      </c>
      <c r="E49" s="2" cm="1">
        <f t="array" ref="E49">SUMPRODUCT((Matches!$D$2:$D$73=A49)*(Matches!$I$2:$I$73=TRUE)*((Matches!$E$2:$E$73=B49)+(Matches!$F$2:$F$73=B49))*(Matches!$G$2:$G$73=Matches!$H$2:$H$73))</f>
        <v>0</v>
      </c>
      <c r="F49" s="2">
        <f t="shared" si="0"/>
        <v>1</v>
      </c>
      <c r="G49" s="2">
        <f>SUMIFS(Matches!$G$2:$G$73,Matches!$D$2:$D$73,A49,Matches!$E$2:$E$73,B49)+SUMIFS(Matches!$H$2:$H$73,Matches!$D$2:$D$73,A49,Matches!$F$2:$F$73,B49)</f>
        <v>5</v>
      </c>
      <c r="H49" s="2">
        <f>SUMIFS(Matches!$H$2:$H$73,Matches!$D$2:$D$73,A49,Matches!$E$2:$E$73,B49)+SUMIFS(Matches!$G$2:$G$73,Matches!$D$2:$D$73,A49,Matches!$F$2:$F$73,B49)</f>
        <v>5</v>
      </c>
      <c r="I49" s="2">
        <f t="shared" si="1"/>
        <v>0</v>
      </c>
      <c r="J49" s="2">
        <f t="shared" si="2"/>
        <v>6</v>
      </c>
      <c r="K49" s="2" cm="1">
        <f t="array" ref="K49">1+SUMPRODUCT(($A$2:$A$49=A49)*(($J$2:$J$49&gt;J49)+(($J$2:$J$49=J49)*($I$2:$I$49&gt;I49))+(($J$2:$J$49=J49)*($I$2:$I$49=I49)*($G$2:$G$49&gt;G49))))</f>
        <v>2</v>
      </c>
      <c r="L49" s="1" t="str">
        <f t="shared" si="3"/>
        <v>L2</v>
      </c>
      <c r="M49" s="8" t="str">
        <f t="shared" si="4"/>
        <v>Qualified</v>
      </c>
      <c r="N49" s="1"/>
      <c r="O49" s="1"/>
      <c r="P49" s="1"/>
      <c r="Q49" s="1"/>
      <c r="R49" s="1"/>
      <c r="S49" s="1"/>
      <c r="T49" s="1"/>
      <c r="U49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3F56-8563-4F54-9342-04DB6B3A6B1D}">
  <dimension ref="A1:L49"/>
  <sheetViews>
    <sheetView tabSelected="1" workbookViewId="0">
      <selection activeCell="H4" sqref="H4"/>
    </sheetView>
  </sheetViews>
  <sheetFormatPr defaultRowHeight="14.5" x14ac:dyDescent="0.35"/>
  <cols>
    <col min="1" max="1" width="11.90625" bestFit="1" customWidth="1"/>
    <col min="2" max="2" width="10.08984375" bestFit="1" customWidth="1"/>
    <col min="3" max="3" width="11.1796875" bestFit="1" customWidth="1"/>
    <col min="4" max="4" width="18.26953125" bestFit="1" customWidth="1"/>
    <col min="5" max="5" width="23.90625" bestFit="1" customWidth="1"/>
    <col min="6" max="6" width="11.26953125" bestFit="1" customWidth="1"/>
    <col min="7" max="7" width="21.54296875" bestFit="1" customWidth="1"/>
    <col min="8" max="9" width="16.36328125" bestFit="1" customWidth="1"/>
    <col min="10" max="10" width="11.36328125" bestFit="1" customWidth="1"/>
    <col min="11" max="11" width="26.90625" bestFit="1" customWidth="1"/>
    <col min="12" max="12" width="52.26953125" bestFit="1" customWidth="1"/>
  </cols>
  <sheetData>
    <row r="1" spans="1:12" x14ac:dyDescent="0.35">
      <c r="A1" s="44" t="s">
        <v>115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35">
      <c r="A2" s="10" t="s">
        <v>74</v>
      </c>
      <c r="B2" s="10" t="s">
        <v>75</v>
      </c>
      <c r="C2" s="10" t="s">
        <v>76</v>
      </c>
      <c r="D2" s="10" t="s">
        <v>113</v>
      </c>
      <c r="E2" s="10" t="s">
        <v>114</v>
      </c>
      <c r="F2" s="10" t="s">
        <v>77</v>
      </c>
      <c r="G2" s="10" t="s">
        <v>78</v>
      </c>
      <c r="H2" s="10" t="s">
        <v>79</v>
      </c>
      <c r="I2" s="10" t="s">
        <v>80</v>
      </c>
      <c r="J2" s="10" t="s">
        <v>82</v>
      </c>
      <c r="K2" s="10" t="s">
        <v>83</v>
      </c>
      <c r="L2" s="10" t="s">
        <v>84</v>
      </c>
    </row>
    <row r="3" spans="1:12" x14ac:dyDescent="0.35">
      <c r="A3" s="11">
        <f>'Knockout Data'!A2</f>
        <v>73</v>
      </c>
      <c r="B3" s="20">
        <f>'Knockout Data'!B2</f>
        <v>46201</v>
      </c>
      <c r="C3" s="11" t="str">
        <f>'Knockout Data'!C2</f>
        <v>Round of 32</v>
      </c>
      <c r="D3" s="12" t="str">
        <f>'Knockout Data'!D2</f>
        <v>Group A runners-up</v>
      </c>
      <c r="E3" s="12" t="str">
        <f>'Knockout Data'!E2</f>
        <v>Group B runners-up</v>
      </c>
      <c r="F3" s="12" t="str">
        <f>'Knockout Data'!F2</f>
        <v>South Africa</v>
      </c>
      <c r="G3" s="12" t="str">
        <f>'Knockout Data'!G2</f>
        <v>Canada</v>
      </c>
      <c r="H3" s="21">
        <v>0</v>
      </c>
      <c r="I3" s="21">
        <v>1</v>
      </c>
      <c r="J3" s="11" t="str">
        <f>'Knockout Data'!J2</f>
        <v>Canada</v>
      </c>
      <c r="K3" s="12" t="str">
        <f>'Knockout Data'!K2</f>
        <v>Los Angeles Stadium</v>
      </c>
      <c r="L3" s="12">
        <f>'Knockout Data'!L2</f>
        <v>0</v>
      </c>
    </row>
    <row r="4" spans="1:12" x14ac:dyDescent="0.35">
      <c r="A4" s="11">
        <f>'Knockout Data'!A3</f>
        <v>74</v>
      </c>
      <c r="B4" s="20">
        <f>'Knockout Data'!B3</f>
        <v>46202</v>
      </c>
      <c r="C4" s="11" t="str">
        <f>'Knockout Data'!C3</f>
        <v>Round of 32</v>
      </c>
      <c r="D4" s="12" t="str">
        <f>'Knockout Data'!D3</f>
        <v>Group E winners</v>
      </c>
      <c r="E4" s="12" t="str">
        <f>'Knockout Data'!E3</f>
        <v>Group A/B/C/D/F third place</v>
      </c>
      <c r="F4" s="12" t="str">
        <f>'Knockout Data'!F3</f>
        <v>Germany</v>
      </c>
      <c r="G4" s="12" t="str">
        <f>'Knockout Data'!G3</f>
        <v>Bosnia and Herzegovina</v>
      </c>
      <c r="H4" s="21"/>
      <c r="I4" s="21"/>
      <c r="J4" s="11" t="str">
        <f>'Knockout Data'!J3</f>
        <v/>
      </c>
      <c r="K4" s="12" t="str">
        <f>'Knockout Data'!K3</f>
        <v>Boston Stadium</v>
      </c>
      <c r="L4" s="12">
        <f>'Knockout Data'!L3</f>
        <v>0</v>
      </c>
    </row>
    <row r="5" spans="1:12" x14ac:dyDescent="0.35">
      <c r="A5" s="11">
        <f>'Knockout Data'!A4</f>
        <v>75</v>
      </c>
      <c r="B5" s="20">
        <f>'Knockout Data'!B4</f>
        <v>46202</v>
      </c>
      <c r="C5" s="11" t="str">
        <f>'Knockout Data'!C4</f>
        <v>Round of 32</v>
      </c>
      <c r="D5" s="12" t="str">
        <f>'Knockout Data'!D4</f>
        <v>Group F winners</v>
      </c>
      <c r="E5" s="12" t="str">
        <f>'Knockout Data'!E4</f>
        <v>Group C runners-up</v>
      </c>
      <c r="F5" s="12" t="str">
        <f>'Knockout Data'!F4</f>
        <v>Netherlands</v>
      </c>
      <c r="G5" s="12" t="str">
        <f>'Knockout Data'!G4</f>
        <v>Morocco</v>
      </c>
      <c r="H5" s="21"/>
      <c r="I5" s="21"/>
      <c r="J5" s="11" t="str">
        <f>'Knockout Data'!J4</f>
        <v/>
      </c>
      <c r="K5" s="12" t="str">
        <f>'Knockout Data'!K4</f>
        <v>Estadio Monterrey</v>
      </c>
      <c r="L5" s="12">
        <f>'Knockout Data'!L4</f>
        <v>0</v>
      </c>
    </row>
    <row r="6" spans="1:12" x14ac:dyDescent="0.35">
      <c r="A6" s="11">
        <f>'Knockout Data'!A5</f>
        <v>76</v>
      </c>
      <c r="B6" s="20">
        <f>'Knockout Data'!B5</f>
        <v>46202</v>
      </c>
      <c r="C6" s="11" t="str">
        <f>'Knockout Data'!C5</f>
        <v>Round of 32</v>
      </c>
      <c r="D6" s="12" t="str">
        <f>'Knockout Data'!D5</f>
        <v>Group C winners</v>
      </c>
      <c r="E6" s="12" t="str">
        <f>'Knockout Data'!E5</f>
        <v>Group F runners-up</v>
      </c>
      <c r="F6" s="12" t="str">
        <f>'Knockout Data'!F5</f>
        <v>Brazil</v>
      </c>
      <c r="G6" s="12" t="str">
        <f>'Knockout Data'!G5</f>
        <v>Japan</v>
      </c>
      <c r="H6" s="21"/>
      <c r="I6" s="21"/>
      <c r="J6" s="11" t="str">
        <f>'Knockout Data'!J5</f>
        <v/>
      </c>
      <c r="K6" s="12" t="str">
        <f>'Knockout Data'!K5</f>
        <v>Houston Stadium</v>
      </c>
      <c r="L6" s="12">
        <f>'Knockout Data'!L5</f>
        <v>0</v>
      </c>
    </row>
    <row r="7" spans="1:12" x14ac:dyDescent="0.35">
      <c r="A7" s="11">
        <f>'Knockout Data'!A6</f>
        <v>77</v>
      </c>
      <c r="B7" s="20">
        <f>'Knockout Data'!B6</f>
        <v>46203</v>
      </c>
      <c r="C7" s="11" t="str">
        <f>'Knockout Data'!C6</f>
        <v>Round of 32</v>
      </c>
      <c r="D7" s="12" t="str">
        <f>'Knockout Data'!D6</f>
        <v>Group I winners</v>
      </c>
      <c r="E7" s="12" t="str">
        <f>'Knockout Data'!E6</f>
        <v>Group C/D/F/G/H third place</v>
      </c>
      <c r="F7" s="12" t="str">
        <f>'Knockout Data'!F6</f>
        <v>France</v>
      </c>
      <c r="G7" s="12" t="str">
        <f>'Knockout Data'!G6</f>
        <v>Paraguay</v>
      </c>
      <c r="H7" s="21"/>
      <c r="I7" s="21"/>
      <c r="J7" s="11" t="str">
        <f>'Knockout Data'!J6</f>
        <v/>
      </c>
      <c r="K7" s="12" t="str">
        <f>'Knockout Data'!K6</f>
        <v>New York New Jersey Stadium</v>
      </c>
      <c r="L7" s="12">
        <f>'Knockout Data'!L6</f>
        <v>0</v>
      </c>
    </row>
    <row r="8" spans="1:12" x14ac:dyDescent="0.35">
      <c r="A8" s="11">
        <f>'Knockout Data'!A7</f>
        <v>78</v>
      </c>
      <c r="B8" s="20">
        <f>'Knockout Data'!B7</f>
        <v>46203</v>
      </c>
      <c r="C8" s="11" t="str">
        <f>'Knockout Data'!C7</f>
        <v>Round of 32</v>
      </c>
      <c r="D8" s="12" t="str">
        <f>'Knockout Data'!D7</f>
        <v>Group E runners-up</v>
      </c>
      <c r="E8" s="12" t="str">
        <f>'Knockout Data'!E7</f>
        <v>Group I runners-up</v>
      </c>
      <c r="F8" s="12" t="str">
        <f>'Knockout Data'!F7</f>
        <v>Côte d'Ivoire</v>
      </c>
      <c r="G8" s="12" t="str">
        <f>'Knockout Data'!G7</f>
        <v>Norway</v>
      </c>
      <c r="H8" s="21"/>
      <c r="I8" s="21"/>
      <c r="J8" s="11" t="str">
        <f>'Knockout Data'!J7</f>
        <v/>
      </c>
      <c r="K8" s="12" t="str">
        <f>'Knockout Data'!K7</f>
        <v>Dallas Stadium</v>
      </c>
      <c r="L8" s="12">
        <f>'Knockout Data'!L7</f>
        <v>0</v>
      </c>
    </row>
    <row r="9" spans="1:12" x14ac:dyDescent="0.35">
      <c r="A9" s="11">
        <f>'Knockout Data'!A8</f>
        <v>79</v>
      </c>
      <c r="B9" s="20">
        <f>'Knockout Data'!B8</f>
        <v>46203</v>
      </c>
      <c r="C9" s="11" t="str">
        <f>'Knockout Data'!C8</f>
        <v>Round of 32</v>
      </c>
      <c r="D9" s="12" t="str">
        <f>'Knockout Data'!D8</f>
        <v>Group A winners</v>
      </c>
      <c r="E9" s="12" t="str">
        <f>'Knockout Data'!E8</f>
        <v>Group C/E/F/H/I third place</v>
      </c>
      <c r="F9" s="12" t="str">
        <f>'Knockout Data'!F8</f>
        <v>Mexico</v>
      </c>
      <c r="G9" s="12" t="str">
        <f>'Knockout Data'!G8</f>
        <v>Scotland</v>
      </c>
      <c r="H9" s="21"/>
      <c r="I9" s="21"/>
      <c r="J9" s="11" t="str">
        <f>'Knockout Data'!J8</f>
        <v/>
      </c>
      <c r="K9" s="12" t="str">
        <f>'Knockout Data'!K8</f>
        <v>Mexico City Stadium</v>
      </c>
      <c r="L9" s="12">
        <f>'Knockout Data'!L8</f>
        <v>0</v>
      </c>
    </row>
    <row r="10" spans="1:12" x14ac:dyDescent="0.35">
      <c r="A10" s="11">
        <f>'Knockout Data'!A9</f>
        <v>80</v>
      </c>
      <c r="B10" s="20">
        <f>'Knockout Data'!B9</f>
        <v>46204</v>
      </c>
      <c r="C10" s="11" t="str">
        <f>'Knockout Data'!C9</f>
        <v>Round of 32</v>
      </c>
      <c r="D10" s="12" t="str">
        <f>'Knockout Data'!D9</f>
        <v>Group L winners</v>
      </c>
      <c r="E10" s="12" t="str">
        <f>'Knockout Data'!E9</f>
        <v>Group E/H/I/J/K third place</v>
      </c>
      <c r="F10" s="12" t="str">
        <f>'Knockout Data'!F9</f>
        <v>England</v>
      </c>
      <c r="G10" s="12" t="str">
        <f>'Knockout Data'!G9</f>
        <v>Algeria</v>
      </c>
      <c r="H10" s="21"/>
      <c r="I10" s="21"/>
      <c r="J10" s="11" t="str">
        <f>'Knockout Data'!J9</f>
        <v/>
      </c>
      <c r="K10" s="12" t="str">
        <f>'Knockout Data'!K9</f>
        <v>Atlanta Stadium</v>
      </c>
      <c r="L10" s="12">
        <f>'Knockout Data'!L9</f>
        <v>0</v>
      </c>
    </row>
    <row r="11" spans="1:12" x14ac:dyDescent="0.35">
      <c r="A11" s="11">
        <f>'Knockout Data'!A10</f>
        <v>81</v>
      </c>
      <c r="B11" s="20">
        <f>'Knockout Data'!B10</f>
        <v>46204</v>
      </c>
      <c r="C11" s="11" t="str">
        <f>'Knockout Data'!C10</f>
        <v>Round of 32</v>
      </c>
      <c r="D11" s="12" t="str">
        <f>'Knockout Data'!D10</f>
        <v>Group D winners</v>
      </c>
      <c r="E11" s="12" t="str">
        <f>'Knockout Data'!E10</f>
        <v>Group B/E/F/I/J third place</v>
      </c>
      <c r="F11" s="12" t="str">
        <f>'Knockout Data'!F10</f>
        <v>USA</v>
      </c>
      <c r="G11" s="12" t="str">
        <f>'Knockout Data'!G10</f>
        <v>Ecuador</v>
      </c>
      <c r="H11" s="21"/>
      <c r="I11" s="21"/>
      <c r="J11" s="11" t="str">
        <f>'Knockout Data'!J10</f>
        <v/>
      </c>
      <c r="K11" s="12" t="str">
        <f>'Knockout Data'!K10</f>
        <v>San Francisco Bay Area Stadium</v>
      </c>
      <c r="L11" s="12">
        <f>'Knockout Data'!L10</f>
        <v>0</v>
      </c>
    </row>
    <row r="12" spans="1:12" x14ac:dyDescent="0.35">
      <c r="A12" s="11">
        <f>'Knockout Data'!A11</f>
        <v>82</v>
      </c>
      <c r="B12" s="20">
        <f>'Knockout Data'!B11</f>
        <v>46204</v>
      </c>
      <c r="C12" s="11" t="str">
        <f>'Knockout Data'!C11</f>
        <v>Round of 32</v>
      </c>
      <c r="D12" s="12" t="str">
        <f>'Knockout Data'!D11</f>
        <v>Group G winners</v>
      </c>
      <c r="E12" s="12" t="str">
        <f>'Knockout Data'!E11</f>
        <v>Group A/E/H/I/J third place</v>
      </c>
      <c r="F12" s="12" t="str">
        <f>'Knockout Data'!F11</f>
        <v>Belgium</v>
      </c>
      <c r="G12" s="12" t="str">
        <f>'Knockout Data'!G11</f>
        <v>Korea Republic</v>
      </c>
      <c r="H12" s="21"/>
      <c r="I12" s="21"/>
      <c r="J12" s="11" t="str">
        <f>'Knockout Data'!J11</f>
        <v/>
      </c>
      <c r="K12" s="12" t="str">
        <f>'Knockout Data'!K11</f>
        <v>Seattle Stadium</v>
      </c>
      <c r="L12" s="12">
        <f>'Knockout Data'!L11</f>
        <v>0</v>
      </c>
    </row>
    <row r="13" spans="1:12" x14ac:dyDescent="0.35">
      <c r="A13" s="11">
        <f>'Knockout Data'!A12</f>
        <v>83</v>
      </c>
      <c r="B13" s="20">
        <f>'Knockout Data'!B12</f>
        <v>46205</v>
      </c>
      <c r="C13" s="11" t="str">
        <f>'Knockout Data'!C12</f>
        <v>Round of 32</v>
      </c>
      <c r="D13" s="12" t="str">
        <f>'Knockout Data'!D12</f>
        <v>Group K runners-up</v>
      </c>
      <c r="E13" s="12" t="str">
        <f>'Knockout Data'!E12</f>
        <v>Group L runners-up</v>
      </c>
      <c r="F13" s="12" t="str">
        <f>'Knockout Data'!F12</f>
        <v>Portugal</v>
      </c>
      <c r="G13" s="12" t="str">
        <f>'Knockout Data'!G12</f>
        <v>Croatia</v>
      </c>
      <c r="H13" s="21"/>
      <c r="I13" s="21"/>
      <c r="J13" s="11" t="str">
        <f>'Knockout Data'!J12</f>
        <v/>
      </c>
      <c r="K13" s="12" t="str">
        <f>'Knockout Data'!K12</f>
        <v>Toronto Stadium</v>
      </c>
      <c r="L13" s="12">
        <f>'Knockout Data'!L12</f>
        <v>0</v>
      </c>
    </row>
    <row r="14" spans="1:12" x14ac:dyDescent="0.35">
      <c r="A14" s="11">
        <f>'Knockout Data'!A13</f>
        <v>84</v>
      </c>
      <c r="B14" s="20">
        <f>'Knockout Data'!B13</f>
        <v>46205</v>
      </c>
      <c r="C14" s="11" t="str">
        <f>'Knockout Data'!C13</f>
        <v>Round of 32</v>
      </c>
      <c r="D14" s="12" t="str">
        <f>'Knockout Data'!D13</f>
        <v>Group H winners</v>
      </c>
      <c r="E14" s="12" t="str">
        <f>'Knockout Data'!E13</f>
        <v>Group J runners-up</v>
      </c>
      <c r="F14" s="12" t="str">
        <f>'Knockout Data'!F13</f>
        <v>Spain</v>
      </c>
      <c r="G14" s="12" t="str">
        <f>'Knockout Data'!G13</f>
        <v>Austria</v>
      </c>
      <c r="H14" s="21"/>
      <c r="I14" s="21"/>
      <c r="J14" s="11" t="str">
        <f>'Knockout Data'!J13</f>
        <v/>
      </c>
      <c r="K14" s="12" t="str">
        <f>'Knockout Data'!K13</f>
        <v>Los Angeles Stadium</v>
      </c>
      <c r="L14" s="12">
        <f>'Knockout Data'!L13</f>
        <v>0</v>
      </c>
    </row>
    <row r="15" spans="1:12" x14ac:dyDescent="0.35">
      <c r="A15" s="11">
        <f>'Knockout Data'!A14</f>
        <v>85</v>
      </c>
      <c r="B15" s="20">
        <f>'Knockout Data'!B14</f>
        <v>46205</v>
      </c>
      <c r="C15" s="11" t="str">
        <f>'Knockout Data'!C14</f>
        <v>Round of 32</v>
      </c>
      <c r="D15" s="12" t="str">
        <f>'Knockout Data'!D14</f>
        <v>Group B winners</v>
      </c>
      <c r="E15" s="12" t="str">
        <f>'Knockout Data'!E14</f>
        <v>Group E/F/G/I/J third place</v>
      </c>
      <c r="F15" s="12" t="str">
        <f>'Knockout Data'!F14</f>
        <v>Switzerland</v>
      </c>
      <c r="G15" s="12" t="str">
        <f>'Knockout Data'!G14</f>
        <v>Sweden</v>
      </c>
      <c r="H15" s="21"/>
      <c r="I15" s="21"/>
      <c r="J15" s="11" t="str">
        <f>'Knockout Data'!J14</f>
        <v/>
      </c>
      <c r="K15" s="12" t="str">
        <f>'Knockout Data'!K14</f>
        <v>BC Place Vancouver</v>
      </c>
      <c r="L15" s="12">
        <f>'Knockout Data'!L14</f>
        <v>0</v>
      </c>
    </row>
    <row r="16" spans="1:12" x14ac:dyDescent="0.35">
      <c r="A16" s="11">
        <f>'Knockout Data'!A15</f>
        <v>86</v>
      </c>
      <c r="B16" s="20">
        <f>'Knockout Data'!B15</f>
        <v>46206</v>
      </c>
      <c r="C16" s="11" t="str">
        <f>'Knockout Data'!C15</f>
        <v>Round of 32</v>
      </c>
      <c r="D16" s="12" t="str">
        <f>'Knockout Data'!D15</f>
        <v>Group J winners</v>
      </c>
      <c r="E16" s="12" t="str">
        <f>'Knockout Data'!E15</f>
        <v>Group H runners-up</v>
      </c>
      <c r="F16" s="12" t="str">
        <f>'Knockout Data'!F15</f>
        <v>Argentina</v>
      </c>
      <c r="G16" s="12" t="str">
        <f>'Knockout Data'!G15</f>
        <v>Cabo Verde</v>
      </c>
      <c r="H16" s="21"/>
      <c r="I16" s="21"/>
      <c r="J16" s="11" t="str">
        <f>'Knockout Data'!J15</f>
        <v/>
      </c>
      <c r="K16" s="12" t="str">
        <f>'Knockout Data'!K15</f>
        <v>Miami Stadium</v>
      </c>
      <c r="L16" s="12">
        <f>'Knockout Data'!L15</f>
        <v>0</v>
      </c>
    </row>
    <row r="17" spans="1:12" x14ac:dyDescent="0.35">
      <c r="A17" s="11">
        <f>'Knockout Data'!A16</f>
        <v>87</v>
      </c>
      <c r="B17" s="20">
        <f>'Knockout Data'!B16</f>
        <v>46206</v>
      </c>
      <c r="C17" s="11" t="str">
        <f>'Knockout Data'!C16</f>
        <v>Round of 32</v>
      </c>
      <c r="D17" s="12" t="str">
        <f>'Knockout Data'!D16</f>
        <v>Group K winners</v>
      </c>
      <c r="E17" s="12" t="str">
        <f>'Knockout Data'!E16</f>
        <v>Group D/E/I/J/L third place</v>
      </c>
      <c r="F17" s="12" t="str">
        <f>'Knockout Data'!F16</f>
        <v>Colombia</v>
      </c>
      <c r="G17" s="12" t="str">
        <f>'Knockout Data'!G16</f>
        <v>Ghana</v>
      </c>
      <c r="H17" s="21"/>
      <c r="I17" s="21"/>
      <c r="J17" s="11" t="str">
        <f>'Knockout Data'!J16</f>
        <v/>
      </c>
      <c r="K17" s="12" t="str">
        <f>'Knockout Data'!K16</f>
        <v>Kansas City Stadium</v>
      </c>
      <c r="L17" s="12">
        <f>'Knockout Data'!L16</f>
        <v>0</v>
      </c>
    </row>
    <row r="18" spans="1:12" x14ac:dyDescent="0.35">
      <c r="A18" s="11">
        <f>'Knockout Data'!A17</f>
        <v>88</v>
      </c>
      <c r="B18" s="20">
        <f>'Knockout Data'!B17</f>
        <v>46206</v>
      </c>
      <c r="C18" s="11" t="str">
        <f>'Knockout Data'!C17</f>
        <v>Round of 32</v>
      </c>
      <c r="D18" s="12" t="str">
        <f>'Knockout Data'!D17</f>
        <v>Group D runners-up</v>
      </c>
      <c r="E18" s="12" t="str">
        <f>'Knockout Data'!E17</f>
        <v>Group G runners-up</v>
      </c>
      <c r="F18" s="12" t="str">
        <f>'Knockout Data'!F17</f>
        <v>Australia</v>
      </c>
      <c r="G18" s="12" t="str">
        <f>'Knockout Data'!G17</f>
        <v>Egypt</v>
      </c>
      <c r="H18" s="21"/>
      <c r="I18" s="21"/>
      <c r="J18" s="11" t="str">
        <f>'Knockout Data'!J17</f>
        <v/>
      </c>
      <c r="K18" s="12" t="str">
        <f>'Knockout Data'!K17</f>
        <v>Dallas Stadium</v>
      </c>
      <c r="L18" s="12">
        <f>'Knockout Data'!L17</f>
        <v>0</v>
      </c>
    </row>
    <row r="20" spans="1:12" x14ac:dyDescent="0.35">
      <c r="A20" s="44" t="s">
        <v>148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1:12" x14ac:dyDescent="0.35">
      <c r="A21" s="10" t="s">
        <v>74</v>
      </c>
      <c r="B21" s="10" t="s">
        <v>75</v>
      </c>
      <c r="C21" s="10" t="s">
        <v>76</v>
      </c>
      <c r="D21" s="10" t="s">
        <v>113</v>
      </c>
      <c r="E21" s="10" t="s">
        <v>114</v>
      </c>
      <c r="F21" s="10" t="s">
        <v>77</v>
      </c>
      <c r="G21" s="10" t="s">
        <v>78</v>
      </c>
      <c r="H21" s="10" t="s">
        <v>79</v>
      </c>
      <c r="I21" s="10" t="s">
        <v>80</v>
      </c>
      <c r="J21" s="10" t="s">
        <v>82</v>
      </c>
      <c r="K21" s="10" t="s">
        <v>83</v>
      </c>
      <c r="L21" s="10" t="s">
        <v>84</v>
      </c>
    </row>
    <row r="22" spans="1:12" x14ac:dyDescent="0.35">
      <c r="A22" s="11">
        <f>'Knockout Data'!A18</f>
        <v>89</v>
      </c>
      <c r="B22" s="20">
        <f>'Knockout Data'!B18</f>
        <v>46207</v>
      </c>
      <c r="C22" s="11" t="str">
        <f>'Knockout Data'!C18</f>
        <v>Round of 16</v>
      </c>
      <c r="D22" s="12" t="str">
        <f>'Knockout Data'!D18</f>
        <v>Winner match 74</v>
      </c>
      <c r="E22" s="12" t="str">
        <f>'Knockout Data'!E18</f>
        <v>Winner match 77</v>
      </c>
      <c r="F22" s="12" t="str">
        <f>'Knockout Data'!F18</f>
        <v/>
      </c>
      <c r="G22" s="12" t="str">
        <f>'Knockout Data'!G18</f>
        <v/>
      </c>
      <c r="H22" s="21"/>
      <c r="I22" s="21"/>
      <c r="J22" s="11" t="str">
        <f>'Knockout Data'!J18</f>
        <v/>
      </c>
      <c r="K22" s="12" t="str">
        <f>'Knockout Data'!K18</f>
        <v>Philadelphia Stadium</v>
      </c>
      <c r="L22" s="12">
        <f>'Knockout Data'!L18</f>
        <v>0</v>
      </c>
    </row>
    <row r="23" spans="1:12" x14ac:dyDescent="0.35">
      <c r="A23" s="11">
        <f>'Knockout Data'!A19</f>
        <v>90</v>
      </c>
      <c r="B23" s="20">
        <f>'Knockout Data'!B19</f>
        <v>46207</v>
      </c>
      <c r="C23" s="11" t="str">
        <f>'Knockout Data'!C19</f>
        <v>Round of 16</v>
      </c>
      <c r="D23" s="12" t="str">
        <f>'Knockout Data'!D19</f>
        <v>Winner match 73</v>
      </c>
      <c r="E23" s="12" t="str">
        <f>'Knockout Data'!E19</f>
        <v>Winner match 75</v>
      </c>
      <c r="F23" s="12" t="str">
        <f>'Knockout Data'!F19</f>
        <v>Canada</v>
      </c>
      <c r="G23" s="12" t="str">
        <f>'Knockout Data'!G19</f>
        <v/>
      </c>
      <c r="H23" s="21"/>
      <c r="I23" s="21"/>
      <c r="J23" s="11" t="str">
        <f>'Knockout Data'!J19</f>
        <v/>
      </c>
      <c r="K23" s="12" t="str">
        <f>'Knockout Data'!K19</f>
        <v>Houston Stadium</v>
      </c>
      <c r="L23" s="12">
        <f>'Knockout Data'!L19</f>
        <v>0</v>
      </c>
    </row>
    <row r="24" spans="1:12" x14ac:dyDescent="0.35">
      <c r="A24" s="11">
        <f>'Knockout Data'!A20</f>
        <v>91</v>
      </c>
      <c r="B24" s="20">
        <f>'Knockout Data'!B20</f>
        <v>46208</v>
      </c>
      <c r="C24" s="11" t="str">
        <f>'Knockout Data'!C20</f>
        <v>Round of 16</v>
      </c>
      <c r="D24" s="12" t="str">
        <f>'Knockout Data'!D20</f>
        <v>Winner match 76</v>
      </c>
      <c r="E24" s="12" t="str">
        <f>'Knockout Data'!E20</f>
        <v>Winner match 78</v>
      </c>
      <c r="F24" s="12" t="str">
        <f>'Knockout Data'!F20</f>
        <v/>
      </c>
      <c r="G24" s="12" t="str">
        <f>'Knockout Data'!G20</f>
        <v/>
      </c>
      <c r="H24" s="21"/>
      <c r="I24" s="21"/>
      <c r="J24" s="11" t="str">
        <f>'Knockout Data'!J20</f>
        <v/>
      </c>
      <c r="K24" s="12" t="str">
        <f>'Knockout Data'!K20</f>
        <v>New York New Jersey Stadium</v>
      </c>
      <c r="L24" s="12">
        <f>'Knockout Data'!L20</f>
        <v>0</v>
      </c>
    </row>
    <row r="25" spans="1:12" x14ac:dyDescent="0.35">
      <c r="A25" s="11">
        <f>'Knockout Data'!A21</f>
        <v>92</v>
      </c>
      <c r="B25" s="20">
        <f>'Knockout Data'!B21</f>
        <v>46208</v>
      </c>
      <c r="C25" s="11" t="str">
        <f>'Knockout Data'!C21</f>
        <v>Round of 16</v>
      </c>
      <c r="D25" s="12" t="str">
        <f>'Knockout Data'!D21</f>
        <v>Winner match 79</v>
      </c>
      <c r="E25" s="12" t="str">
        <f>'Knockout Data'!E21</f>
        <v>Winner match 80</v>
      </c>
      <c r="F25" s="12" t="str">
        <f>'Knockout Data'!F21</f>
        <v/>
      </c>
      <c r="G25" s="12" t="str">
        <f>'Knockout Data'!G21</f>
        <v/>
      </c>
      <c r="H25" s="21"/>
      <c r="I25" s="21"/>
      <c r="J25" s="11" t="str">
        <f>'Knockout Data'!J21</f>
        <v/>
      </c>
      <c r="K25" s="12" t="str">
        <f>'Knockout Data'!K21</f>
        <v>Mexico City Stadium</v>
      </c>
      <c r="L25" s="12">
        <f>'Knockout Data'!L21</f>
        <v>0</v>
      </c>
    </row>
    <row r="26" spans="1:12" x14ac:dyDescent="0.35">
      <c r="A26" s="11">
        <f>'Knockout Data'!A22</f>
        <v>93</v>
      </c>
      <c r="B26" s="20">
        <f>'Knockout Data'!B22</f>
        <v>46209</v>
      </c>
      <c r="C26" s="11" t="str">
        <f>'Knockout Data'!C22</f>
        <v>Round of 16</v>
      </c>
      <c r="D26" s="12" t="str">
        <f>'Knockout Data'!D22</f>
        <v>Winner match 83</v>
      </c>
      <c r="E26" s="12" t="str">
        <f>'Knockout Data'!E22</f>
        <v>Winner match 84</v>
      </c>
      <c r="F26" s="12" t="str">
        <f>'Knockout Data'!F22</f>
        <v/>
      </c>
      <c r="G26" s="12" t="str">
        <f>'Knockout Data'!G22</f>
        <v/>
      </c>
      <c r="H26" s="21"/>
      <c r="I26" s="21"/>
      <c r="J26" s="11" t="str">
        <f>'Knockout Data'!J22</f>
        <v/>
      </c>
      <c r="K26" s="12" t="str">
        <f>'Knockout Data'!K22</f>
        <v>Dallas Stadium</v>
      </c>
      <c r="L26" s="12">
        <f>'Knockout Data'!L22</f>
        <v>0</v>
      </c>
    </row>
    <row r="27" spans="1:12" x14ac:dyDescent="0.35">
      <c r="A27" s="11">
        <f>'Knockout Data'!A23</f>
        <v>94</v>
      </c>
      <c r="B27" s="20">
        <f>'Knockout Data'!B23</f>
        <v>46209</v>
      </c>
      <c r="C27" s="11" t="str">
        <f>'Knockout Data'!C23</f>
        <v>Round of 16</v>
      </c>
      <c r="D27" s="12" t="str">
        <f>'Knockout Data'!D23</f>
        <v>Winner match 81</v>
      </c>
      <c r="E27" s="12" t="str">
        <f>'Knockout Data'!E23</f>
        <v>Winner match 82</v>
      </c>
      <c r="F27" s="12" t="str">
        <f>'Knockout Data'!F23</f>
        <v/>
      </c>
      <c r="G27" s="12" t="str">
        <f>'Knockout Data'!G23</f>
        <v/>
      </c>
      <c r="H27" s="21"/>
      <c r="I27" s="21"/>
      <c r="J27" s="11" t="str">
        <f>'Knockout Data'!J23</f>
        <v/>
      </c>
      <c r="K27" s="12" t="str">
        <f>'Knockout Data'!K23</f>
        <v>Seattle Stadium</v>
      </c>
      <c r="L27" s="12">
        <f>'Knockout Data'!L23</f>
        <v>0</v>
      </c>
    </row>
    <row r="28" spans="1:12" x14ac:dyDescent="0.35">
      <c r="A28" s="11">
        <f>'Knockout Data'!A24</f>
        <v>95</v>
      </c>
      <c r="B28" s="20">
        <f>'Knockout Data'!B24</f>
        <v>46210</v>
      </c>
      <c r="C28" s="11" t="str">
        <f>'Knockout Data'!C24</f>
        <v>Round of 16</v>
      </c>
      <c r="D28" s="12" t="str">
        <f>'Knockout Data'!D24</f>
        <v>Winner match 86</v>
      </c>
      <c r="E28" s="12" t="str">
        <f>'Knockout Data'!E24</f>
        <v>Winner match 88</v>
      </c>
      <c r="F28" s="12" t="str">
        <f>'Knockout Data'!F24</f>
        <v/>
      </c>
      <c r="G28" s="12" t="str">
        <f>'Knockout Data'!G24</f>
        <v/>
      </c>
      <c r="H28" s="21"/>
      <c r="I28" s="21"/>
      <c r="J28" s="11" t="str">
        <f>'Knockout Data'!J24</f>
        <v/>
      </c>
      <c r="K28" s="12" t="str">
        <f>'Knockout Data'!K24</f>
        <v>Atlanta Stadium</v>
      </c>
      <c r="L28" s="12">
        <f>'Knockout Data'!L24</f>
        <v>0</v>
      </c>
    </row>
    <row r="29" spans="1:12" x14ac:dyDescent="0.35">
      <c r="A29" s="11">
        <f>'Knockout Data'!A25</f>
        <v>96</v>
      </c>
      <c r="B29" s="20">
        <f>'Knockout Data'!B25</f>
        <v>46210</v>
      </c>
      <c r="C29" s="11" t="str">
        <f>'Knockout Data'!C25</f>
        <v>Round of 16</v>
      </c>
      <c r="D29" s="12" t="str">
        <f>'Knockout Data'!D25</f>
        <v>Winner match 85</v>
      </c>
      <c r="E29" s="12" t="str">
        <f>'Knockout Data'!E25</f>
        <v>Winner match 87</v>
      </c>
      <c r="F29" s="12" t="str">
        <f>'Knockout Data'!F25</f>
        <v/>
      </c>
      <c r="G29" s="12" t="str">
        <f>'Knockout Data'!G25</f>
        <v/>
      </c>
      <c r="H29" s="21"/>
      <c r="I29" s="21"/>
      <c r="J29" s="11" t="str">
        <f>'Knockout Data'!J25</f>
        <v/>
      </c>
      <c r="K29" s="12" t="str">
        <f>'Knockout Data'!K25</f>
        <v>BC Place Vancouver</v>
      </c>
      <c r="L29" s="12">
        <f>'Knockout Data'!L25</f>
        <v>0</v>
      </c>
    </row>
    <row r="31" spans="1:12" x14ac:dyDescent="0.35">
      <c r="A31" s="44" t="s">
        <v>165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</row>
    <row r="32" spans="1:12" x14ac:dyDescent="0.35">
      <c r="A32" s="10" t="s">
        <v>74</v>
      </c>
      <c r="B32" s="10" t="s">
        <v>75</v>
      </c>
      <c r="C32" s="10" t="s">
        <v>76</v>
      </c>
      <c r="D32" s="10" t="s">
        <v>113</v>
      </c>
      <c r="E32" s="10" t="s">
        <v>114</v>
      </c>
      <c r="F32" s="10" t="s">
        <v>77</v>
      </c>
      <c r="G32" s="10" t="s">
        <v>78</v>
      </c>
      <c r="H32" s="10" t="s">
        <v>79</v>
      </c>
      <c r="I32" s="10" t="s">
        <v>80</v>
      </c>
      <c r="J32" s="10" t="s">
        <v>82</v>
      </c>
      <c r="K32" s="10" t="s">
        <v>83</v>
      </c>
      <c r="L32" s="10" t="s">
        <v>84</v>
      </c>
    </row>
    <row r="33" spans="1:12" x14ac:dyDescent="0.35">
      <c r="A33" s="11">
        <f>'Knockout Data'!A26</f>
        <v>97</v>
      </c>
      <c r="B33" s="20">
        <f>'Knockout Data'!B26</f>
        <v>46212</v>
      </c>
      <c r="C33" s="11" t="str">
        <f>'Knockout Data'!C26</f>
        <v>Quarter-final</v>
      </c>
      <c r="D33" s="12" t="str">
        <f>'Knockout Data'!D26</f>
        <v>Winner match 89</v>
      </c>
      <c r="E33" s="12" t="str">
        <f>'Knockout Data'!E26</f>
        <v>Winner match 90</v>
      </c>
      <c r="F33" s="12" t="str">
        <f>'Knockout Data'!F26</f>
        <v/>
      </c>
      <c r="G33" s="12" t="str">
        <f>'Knockout Data'!G26</f>
        <v/>
      </c>
      <c r="H33" s="21"/>
      <c r="I33" s="21"/>
      <c r="J33" s="11" t="str">
        <f>'Knockout Data'!J26</f>
        <v/>
      </c>
      <c r="K33" s="12" t="str">
        <f>'Knockout Data'!K26</f>
        <v>Boston Stadium</v>
      </c>
      <c r="L33" s="12">
        <f>'Knockout Data'!L26</f>
        <v>0</v>
      </c>
    </row>
    <row r="34" spans="1:12" x14ac:dyDescent="0.35">
      <c r="A34" s="11">
        <f>'Knockout Data'!A27</f>
        <v>98</v>
      </c>
      <c r="B34" s="20">
        <f>'Knockout Data'!B27</f>
        <v>46213</v>
      </c>
      <c r="C34" s="11" t="str">
        <f>'Knockout Data'!C27</f>
        <v>Quarter-final</v>
      </c>
      <c r="D34" s="12" t="str">
        <f>'Knockout Data'!D27</f>
        <v>Winner match 93</v>
      </c>
      <c r="E34" s="12" t="str">
        <f>'Knockout Data'!E27</f>
        <v>Winner match 94</v>
      </c>
      <c r="F34" s="12" t="str">
        <f>'Knockout Data'!F27</f>
        <v/>
      </c>
      <c r="G34" s="12" t="str">
        <f>'Knockout Data'!G27</f>
        <v/>
      </c>
      <c r="H34" s="21"/>
      <c r="I34" s="21"/>
      <c r="J34" s="11" t="str">
        <f>'Knockout Data'!J27</f>
        <v/>
      </c>
      <c r="K34" s="12" t="str">
        <f>'Knockout Data'!K27</f>
        <v>Los Angeles Stadium</v>
      </c>
      <c r="L34" s="12">
        <f>'Knockout Data'!L27</f>
        <v>0</v>
      </c>
    </row>
    <row r="35" spans="1:12" x14ac:dyDescent="0.35">
      <c r="A35" s="11">
        <f>'Knockout Data'!A28</f>
        <v>99</v>
      </c>
      <c r="B35" s="20">
        <f>'Knockout Data'!B28</f>
        <v>46214</v>
      </c>
      <c r="C35" s="11" t="str">
        <f>'Knockout Data'!C28</f>
        <v>Quarter-final</v>
      </c>
      <c r="D35" s="12" t="str">
        <f>'Knockout Data'!D28</f>
        <v>Winner match 91</v>
      </c>
      <c r="E35" s="12" t="str">
        <f>'Knockout Data'!E28</f>
        <v>Winner match 92</v>
      </c>
      <c r="F35" s="12" t="str">
        <f>'Knockout Data'!F28</f>
        <v/>
      </c>
      <c r="G35" s="12" t="str">
        <f>'Knockout Data'!G28</f>
        <v/>
      </c>
      <c r="H35" s="21"/>
      <c r="I35" s="21"/>
      <c r="J35" s="11" t="str">
        <f>'Knockout Data'!J28</f>
        <v/>
      </c>
      <c r="K35" s="12" t="str">
        <f>'Knockout Data'!K28</f>
        <v>Miami Stadium</v>
      </c>
      <c r="L35" s="12">
        <f>'Knockout Data'!L28</f>
        <v>0</v>
      </c>
    </row>
    <row r="36" spans="1:12" x14ac:dyDescent="0.35">
      <c r="A36" s="11">
        <f>'Knockout Data'!A29</f>
        <v>100</v>
      </c>
      <c r="B36" s="20">
        <f>'Knockout Data'!B29</f>
        <v>46214</v>
      </c>
      <c r="C36" s="11" t="str">
        <f>'Knockout Data'!C29</f>
        <v>Quarter-final</v>
      </c>
      <c r="D36" s="12" t="str">
        <f>'Knockout Data'!D29</f>
        <v>Winner match 95</v>
      </c>
      <c r="E36" s="12" t="str">
        <f>'Knockout Data'!E29</f>
        <v>Winner match 96</v>
      </c>
      <c r="F36" s="12" t="str">
        <f>'Knockout Data'!F29</f>
        <v/>
      </c>
      <c r="G36" s="12" t="str">
        <f>'Knockout Data'!G29</f>
        <v/>
      </c>
      <c r="H36" s="21"/>
      <c r="I36" s="21"/>
      <c r="J36" s="11" t="str">
        <f>'Knockout Data'!J29</f>
        <v/>
      </c>
      <c r="K36" s="12" t="str">
        <f>'Knockout Data'!K29</f>
        <v>Kansas City Stadium</v>
      </c>
      <c r="L36" s="12">
        <f>'Knockout Data'!L29</f>
        <v>0</v>
      </c>
    </row>
    <row r="38" spans="1:12" x14ac:dyDescent="0.35">
      <c r="A38" s="44" t="s">
        <v>174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</row>
    <row r="39" spans="1:12" x14ac:dyDescent="0.35">
      <c r="A39" s="10" t="s">
        <v>74</v>
      </c>
      <c r="B39" s="10" t="s">
        <v>75</v>
      </c>
      <c r="C39" s="10" t="s">
        <v>76</v>
      </c>
      <c r="D39" s="10" t="s">
        <v>113</v>
      </c>
      <c r="E39" s="10" t="s">
        <v>114</v>
      </c>
      <c r="F39" s="10" t="s">
        <v>77</v>
      </c>
      <c r="G39" s="10" t="s">
        <v>78</v>
      </c>
      <c r="H39" s="10" t="s">
        <v>79</v>
      </c>
      <c r="I39" s="10" t="s">
        <v>80</v>
      </c>
      <c r="J39" s="10" t="s">
        <v>82</v>
      </c>
      <c r="K39" s="10" t="s">
        <v>83</v>
      </c>
      <c r="L39" s="10" t="s">
        <v>84</v>
      </c>
    </row>
    <row r="40" spans="1:12" x14ac:dyDescent="0.35">
      <c r="A40" s="11">
        <f>'Knockout Data'!A30</f>
        <v>101</v>
      </c>
      <c r="B40" s="20">
        <f>'Knockout Data'!B30</f>
        <v>46217</v>
      </c>
      <c r="C40" s="11" t="str">
        <f>'Knockout Data'!C30</f>
        <v>Semi-final</v>
      </c>
      <c r="D40" s="12" t="str">
        <f>'Knockout Data'!D30</f>
        <v>Winner match 97</v>
      </c>
      <c r="E40" s="12" t="str">
        <f>'Knockout Data'!E30</f>
        <v>Winner match 98</v>
      </c>
      <c r="F40" s="12" t="str">
        <f>'Knockout Data'!F30</f>
        <v/>
      </c>
      <c r="G40" s="12" t="str">
        <f>'Knockout Data'!G30</f>
        <v/>
      </c>
      <c r="H40" s="21"/>
      <c r="I40" s="21"/>
      <c r="J40" s="11" t="str">
        <f>'Knockout Data'!J30</f>
        <v/>
      </c>
      <c r="K40" s="12" t="str">
        <f>'Knockout Data'!K30</f>
        <v>Dallas Stadium</v>
      </c>
      <c r="L40" s="12">
        <f>'Knockout Data'!L30</f>
        <v>0</v>
      </c>
    </row>
    <row r="41" spans="1:12" x14ac:dyDescent="0.35">
      <c r="A41" s="11">
        <f>'Knockout Data'!A31</f>
        <v>102</v>
      </c>
      <c r="B41" s="20">
        <f>'Knockout Data'!B31</f>
        <v>46218</v>
      </c>
      <c r="C41" s="11" t="str">
        <f>'Knockout Data'!C31</f>
        <v>Semi-final</v>
      </c>
      <c r="D41" s="12" t="str">
        <f>'Knockout Data'!D31</f>
        <v>Winner match 99</v>
      </c>
      <c r="E41" s="12" t="str">
        <f>'Knockout Data'!E31</f>
        <v>Winner match 100</v>
      </c>
      <c r="F41" s="12" t="str">
        <f>'Knockout Data'!F31</f>
        <v/>
      </c>
      <c r="G41" s="12" t="str">
        <f>'Knockout Data'!G31</f>
        <v/>
      </c>
      <c r="H41" s="21"/>
      <c r="I41" s="21"/>
      <c r="J41" s="11" t="str">
        <f>'Knockout Data'!J31</f>
        <v/>
      </c>
      <c r="K41" s="12" t="str">
        <f>'Knockout Data'!K31</f>
        <v>Atlanta Stadium</v>
      </c>
      <c r="L41" s="12">
        <f>'Knockout Data'!L31</f>
        <v>0</v>
      </c>
    </row>
    <row r="43" spans="1:12" x14ac:dyDescent="0.35">
      <c r="A43" s="44" t="s">
        <v>179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</row>
    <row r="44" spans="1:12" x14ac:dyDescent="0.35">
      <c r="A44" s="10" t="s">
        <v>74</v>
      </c>
      <c r="B44" s="10" t="s">
        <v>75</v>
      </c>
      <c r="C44" s="10" t="s">
        <v>76</v>
      </c>
      <c r="D44" s="10" t="s">
        <v>113</v>
      </c>
      <c r="E44" s="10" t="s">
        <v>114</v>
      </c>
      <c r="F44" s="10" t="s">
        <v>77</v>
      </c>
      <c r="G44" s="10" t="s">
        <v>78</v>
      </c>
      <c r="H44" s="10" t="s">
        <v>79</v>
      </c>
      <c r="I44" s="10" t="s">
        <v>80</v>
      </c>
      <c r="J44" s="10" t="s">
        <v>82</v>
      </c>
      <c r="K44" s="10" t="s">
        <v>83</v>
      </c>
      <c r="L44" s="10" t="s">
        <v>84</v>
      </c>
    </row>
    <row r="45" spans="1:12" x14ac:dyDescent="0.35">
      <c r="A45" s="11">
        <f>'Knockout Data'!A32</f>
        <v>103</v>
      </c>
      <c r="B45" s="20">
        <f>'Knockout Data'!B32</f>
        <v>46221</v>
      </c>
      <c r="C45" s="11" t="str">
        <f>'Knockout Data'!C32</f>
        <v>Bronze final</v>
      </c>
      <c r="D45" s="12" t="str">
        <f>'Knockout Data'!D32</f>
        <v>Runner-up match 101</v>
      </c>
      <c r="E45" s="12" t="str">
        <f>'Knockout Data'!E32</f>
        <v>Runner-up match 102</v>
      </c>
      <c r="F45" s="12" t="str">
        <f>'Knockout Data'!F32</f>
        <v/>
      </c>
      <c r="G45" s="12" t="str">
        <f>'Knockout Data'!G32</f>
        <v/>
      </c>
      <c r="H45" s="21"/>
      <c r="I45" s="21"/>
      <c r="J45" s="11" t="str">
        <f>'Knockout Data'!J32</f>
        <v/>
      </c>
      <c r="K45" s="12" t="str">
        <f>'Knockout Data'!K32</f>
        <v>Miami Stadium</v>
      </c>
      <c r="L45" s="12" t="str">
        <f>'Knockout Data'!L32</f>
        <v>Enter losing semi-finalists manually after matches 101 and 102.</v>
      </c>
    </row>
    <row r="47" spans="1:12" x14ac:dyDescent="0.35">
      <c r="A47" s="44" t="s">
        <v>182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</row>
    <row r="48" spans="1:12" x14ac:dyDescent="0.35">
      <c r="A48" s="10" t="s">
        <v>74</v>
      </c>
      <c r="B48" s="10" t="s">
        <v>75</v>
      </c>
      <c r="C48" s="10" t="s">
        <v>76</v>
      </c>
      <c r="D48" s="10" t="s">
        <v>113</v>
      </c>
      <c r="E48" s="10" t="s">
        <v>114</v>
      </c>
      <c r="F48" s="10" t="s">
        <v>77</v>
      </c>
      <c r="G48" s="10" t="s">
        <v>78</v>
      </c>
      <c r="H48" s="10" t="s">
        <v>79</v>
      </c>
      <c r="I48" s="10" t="s">
        <v>80</v>
      </c>
      <c r="J48" s="10" t="s">
        <v>82</v>
      </c>
      <c r="K48" s="10" t="s">
        <v>83</v>
      </c>
      <c r="L48" s="10" t="s">
        <v>84</v>
      </c>
    </row>
    <row r="49" spans="1:12" x14ac:dyDescent="0.35">
      <c r="A49" s="11">
        <f>'Knockout Data'!A33</f>
        <v>104</v>
      </c>
      <c r="B49" s="20">
        <f>'Knockout Data'!B33</f>
        <v>46222</v>
      </c>
      <c r="C49" s="11" t="str">
        <f>'Knockout Data'!C33</f>
        <v>Final</v>
      </c>
      <c r="D49" s="12" t="str">
        <f>'Knockout Data'!D33</f>
        <v>Winner match 101</v>
      </c>
      <c r="E49" s="12" t="str">
        <f>'Knockout Data'!E33</f>
        <v>Winner match 102</v>
      </c>
      <c r="F49" s="12" t="str">
        <f>'Knockout Data'!F33</f>
        <v/>
      </c>
      <c r="G49" s="12" t="str">
        <f>'Knockout Data'!G33</f>
        <v/>
      </c>
      <c r="H49" s="21"/>
      <c r="I49" s="21"/>
      <c r="J49" s="11" t="str">
        <f>'Knockout Data'!J33</f>
        <v/>
      </c>
      <c r="K49" s="12" t="str">
        <f>'Knockout Data'!K33</f>
        <v>New York New Jersey Stadium</v>
      </c>
      <c r="L49" s="12">
        <f>'Knockout Data'!L33</f>
        <v>0</v>
      </c>
    </row>
  </sheetData>
  <mergeCells count="6">
    <mergeCell ref="A47:L47"/>
    <mergeCell ref="A1:L1"/>
    <mergeCell ref="A20:L20"/>
    <mergeCell ref="A31:L31"/>
    <mergeCell ref="A38:L38"/>
    <mergeCell ref="A43:L4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16F9-9CD7-4314-9A9A-E773DDDF514A}">
  <dimension ref="A1:L33"/>
  <sheetViews>
    <sheetView workbookViewId="0">
      <selection activeCell="E2" sqref="E2"/>
    </sheetView>
  </sheetViews>
  <sheetFormatPr defaultRowHeight="14.5" x14ac:dyDescent="0.35"/>
  <cols>
    <col min="1" max="1" width="9.6328125" bestFit="1" customWidth="1"/>
    <col min="2" max="2" width="10.08984375" bestFit="1" customWidth="1"/>
    <col min="3" max="3" width="11.08984375" bestFit="1" customWidth="1"/>
    <col min="4" max="5" width="15.26953125" bestFit="1" customWidth="1"/>
    <col min="6" max="6" width="9" style="18" bestFit="1" customWidth="1"/>
    <col min="7" max="7" width="10.7265625" style="18" bestFit="1" customWidth="1"/>
    <col min="8" max="9" width="14.08984375" bestFit="1" customWidth="1"/>
    <col min="10" max="10" width="9.08984375" style="19" bestFit="1" customWidth="1"/>
    <col min="11" max="11" width="26.54296875" bestFit="1" customWidth="1"/>
    <col min="12" max="12" width="51.81640625" bestFit="1" customWidth="1"/>
  </cols>
  <sheetData>
    <row r="1" spans="1:12" ht="15" thickBot="1" x14ac:dyDescent="0.4">
      <c r="A1" s="22" t="s">
        <v>74</v>
      </c>
      <c r="B1" s="23" t="s">
        <v>75</v>
      </c>
      <c r="C1" s="23" t="s">
        <v>76</v>
      </c>
      <c r="D1" s="23" t="s">
        <v>113</v>
      </c>
      <c r="E1" s="23" t="s">
        <v>114</v>
      </c>
      <c r="F1" s="24" t="s">
        <v>77</v>
      </c>
      <c r="G1" s="24" t="s">
        <v>78</v>
      </c>
      <c r="H1" s="23" t="s">
        <v>79</v>
      </c>
      <c r="I1" s="23" t="s">
        <v>80</v>
      </c>
      <c r="J1" s="25" t="s">
        <v>82</v>
      </c>
      <c r="K1" s="23" t="s">
        <v>83</v>
      </c>
      <c r="L1" s="23" t="s">
        <v>84</v>
      </c>
    </row>
    <row r="2" spans="1:12" ht="27" thickTop="1" x14ac:dyDescent="0.35">
      <c r="A2" s="26">
        <v>73</v>
      </c>
      <c r="B2" s="27">
        <v>46201</v>
      </c>
      <c r="C2" s="28" t="s">
        <v>115</v>
      </c>
      <c r="D2" s="29" t="s">
        <v>116</v>
      </c>
      <c r="E2" s="29" t="s">
        <v>117</v>
      </c>
      <c r="F2" s="30" t="str" cm="1">
        <f t="array" ref="F2">IFERROR(INDEX(_xlfn._xlws.FILTER('Standings Data'!$B$2:$B$49,('Standings Data'!$A$2:$A$49="A")*('Standings Data'!$K$2:$K$49=2)),1),"")</f>
        <v>South Africa</v>
      </c>
      <c r="G2" s="30" t="str" cm="1">
        <f t="array" ref="G2">IFERROR(INDEX(_xlfn._xlws.FILTER('Standings Data'!$B$2:$B$49,('Standings Data'!$A$2:$A$49="B")*('Standings Data'!$K$2:$K$49=2)),1),"")</f>
        <v>Canada</v>
      </c>
      <c r="H2" s="31">
        <f>IF(Knockout!$H$3="","",Knockout!$H$3)</f>
        <v>0</v>
      </c>
      <c r="I2" s="31">
        <f>IF(Knockout!$I$3="","",Knockout!$I$3)</f>
        <v>1</v>
      </c>
      <c r="J2" s="32" t="str">
        <f t="shared" ref="J2:J33" si="0">IF(OR(H2="",I2=""),"",IF(H2&gt;I2,F2,IF(I2&gt;H2,G2,"TBD - penalties")))</f>
        <v>Canada</v>
      </c>
      <c r="K2" s="28" t="s">
        <v>89</v>
      </c>
      <c r="L2" s="28"/>
    </row>
    <row r="3" spans="1:12" ht="26.5" x14ac:dyDescent="0.35">
      <c r="A3" s="33">
        <v>74</v>
      </c>
      <c r="B3" s="34">
        <v>46202</v>
      </c>
      <c r="C3" s="35" t="s">
        <v>115</v>
      </c>
      <c r="D3" s="36" t="s">
        <v>118</v>
      </c>
      <c r="E3" s="36" t="s">
        <v>119</v>
      </c>
      <c r="F3" s="37" t="str" cm="1">
        <f t="array" ref="F3">IFERROR(INDEX(_xlfn._xlws.FILTER('Standings Data'!$B$2:$B$49,('Standings Data'!$A$2:$A$49="E")*('Standings Data'!$K$2:$K$49=1)),1),"")</f>
        <v>Germany</v>
      </c>
      <c r="G3" s="37" t="str" cm="1">
        <f t="array" ref="G3">_xlfn.LET(_xlpm.teams,'Standings Data'!$P$2:$P$13,_xlpm.grps,'Standings Data'!$Q$2:$Q$13,_xlpm.stat,'Standings Data'!$U$2:$U$13,_xlpm.priority,{"B","A","C","D","F"},_xlpm.ok,ISNUMBER(_xlfn.XMATCH(_xlpm.grps,_xlpm.priority))*(_xlpm.stat="Likely advances")*(COUNTIF($F$2:$G$2,_xlpm.teams)=0),IFERROR(INDEX(_xlfn.SORTBY(_xlfn._xlws.FILTER(_xlpm.teams,_xlpm.ok),_xlfn.XMATCH(_xlfn._xlws.FILTER(_xlpm.grps,_xlpm.ok),_xlpm.priority),1),1),""))</f>
        <v>Bosnia and Herzegovina</v>
      </c>
      <c r="H3" s="38" t="str">
        <f>IF(Knockout!$H$4="","",Knockout!$H$4)</f>
        <v/>
      </c>
      <c r="I3" s="38" t="str">
        <f>IF(Knockout!$I$4="","",Knockout!$I$4)</f>
        <v/>
      </c>
      <c r="J3" s="39" t="str">
        <f t="shared" si="0"/>
        <v/>
      </c>
      <c r="K3" s="35" t="s">
        <v>90</v>
      </c>
      <c r="L3" s="35"/>
    </row>
    <row r="4" spans="1:12" ht="26.5" x14ac:dyDescent="0.35">
      <c r="A4" s="40">
        <v>75</v>
      </c>
      <c r="B4" s="41">
        <v>46202</v>
      </c>
      <c r="C4" s="42" t="s">
        <v>115</v>
      </c>
      <c r="D4" s="43" t="s">
        <v>120</v>
      </c>
      <c r="E4" s="43" t="s">
        <v>121</v>
      </c>
      <c r="F4" s="37" t="str" cm="1">
        <f t="array" ref="F4">IFERROR(INDEX(_xlfn._xlws.FILTER('Standings Data'!$B$2:$B$49,('Standings Data'!$A$2:$A$49="F")*('Standings Data'!$K$2:$K$49=1)),1),"")</f>
        <v>Netherlands</v>
      </c>
      <c r="G4" s="37" t="str" cm="1">
        <f t="array" ref="G4">IFERROR(INDEX(_xlfn._xlws.FILTER('Standings Data'!$B$2:$B$49,('Standings Data'!$A$2:$A$49="C")*('Standings Data'!$K$2:$K$49=2)),1),"")</f>
        <v>Morocco</v>
      </c>
      <c r="H4" s="38" t="str">
        <f>IF(Knockout!$H$5="","",Knockout!$H$5)</f>
        <v/>
      </c>
      <c r="I4" s="38" t="str">
        <f>IF(Knockout!$I$5="","",Knockout!$I$5)</f>
        <v/>
      </c>
      <c r="J4" s="39" t="str">
        <f t="shared" si="0"/>
        <v/>
      </c>
      <c r="K4" s="42" t="s">
        <v>97</v>
      </c>
      <c r="L4" s="42"/>
    </row>
    <row r="5" spans="1:12" ht="26.5" x14ac:dyDescent="0.35">
      <c r="A5" s="33">
        <v>76</v>
      </c>
      <c r="B5" s="34">
        <v>46202</v>
      </c>
      <c r="C5" s="35" t="s">
        <v>115</v>
      </c>
      <c r="D5" s="36" t="s">
        <v>122</v>
      </c>
      <c r="E5" s="36" t="s">
        <v>123</v>
      </c>
      <c r="F5" s="37" t="str" cm="1">
        <f t="array" ref="F5">IFERROR(INDEX(_xlfn._xlws.FILTER('Standings Data'!$B$2:$B$49,('Standings Data'!$A$2:$A$49="C")*('Standings Data'!$K$2:$K$49=1)),1),"")</f>
        <v>Brazil</v>
      </c>
      <c r="G5" s="37" t="str" cm="1">
        <f t="array" ref="G5">IFERROR(INDEX(_xlfn._xlws.FILTER('Standings Data'!$B$2:$B$49,('Standings Data'!$A$2:$A$49="F")*('Standings Data'!$K$2:$K$49=2)),1),"")</f>
        <v>Japan</v>
      </c>
      <c r="H5" s="38" t="str">
        <f>IF(Knockout!$H$6="","",Knockout!$H$6)</f>
        <v/>
      </c>
      <c r="I5" s="38" t="str">
        <f>IF(Knockout!$I$6="","",Knockout!$I$6)</f>
        <v/>
      </c>
      <c r="J5" s="39" t="str">
        <f t="shared" si="0"/>
        <v/>
      </c>
      <c r="K5" s="35" t="s">
        <v>95</v>
      </c>
      <c r="L5" s="35"/>
    </row>
    <row r="6" spans="1:12" ht="26.5" x14ac:dyDescent="0.35">
      <c r="A6" s="40">
        <v>77</v>
      </c>
      <c r="B6" s="41">
        <v>46203</v>
      </c>
      <c r="C6" s="42" t="s">
        <v>115</v>
      </c>
      <c r="D6" s="43" t="s">
        <v>124</v>
      </c>
      <c r="E6" s="43" t="s">
        <v>125</v>
      </c>
      <c r="F6" s="37" t="str" cm="1">
        <f t="array" ref="F6">IFERROR(INDEX(_xlfn._xlws.FILTER('Standings Data'!$B$2:$B$49,('Standings Data'!$A$2:$A$49="I")*('Standings Data'!$K$2:$K$49=1)),1),"")</f>
        <v>France</v>
      </c>
      <c r="G6" s="37" t="str" cm="1">
        <f t="array" ref="G6">_xlfn.LET(_xlpm.teams,'Standings Data'!$P$2:$P$13,_xlpm.grps,'Standings Data'!$Q$2:$Q$13,_xlpm.stat,'Standings Data'!$U$2:$U$13,_xlpm.priority,{"D","C","F","G","H"},_xlpm.ok,ISNUMBER(_xlfn.XMATCH(_xlpm.grps,_xlpm.priority))*(_xlpm.stat="Likely advances")*(COUNTIF($F$2:$G$5,_xlpm.teams)=0),IFERROR(INDEX(_xlfn.SORTBY(_xlfn._xlws.FILTER(_xlpm.teams,_xlpm.ok),_xlfn.XMATCH(_xlfn._xlws.FILTER(_xlpm.grps,_xlpm.ok),_xlpm.priority),1),1),""))</f>
        <v>Paraguay</v>
      </c>
      <c r="H6" s="38" t="str">
        <f>IF(Knockout!$H$7="","",Knockout!$H$7)</f>
        <v/>
      </c>
      <c r="I6" s="38" t="str">
        <f>IF(Knockout!$I$7="","",Knockout!$I$7)</f>
        <v/>
      </c>
      <c r="J6" s="39" t="str">
        <f t="shared" si="0"/>
        <v/>
      </c>
      <c r="K6" s="42" t="s">
        <v>92</v>
      </c>
      <c r="L6" s="42"/>
    </row>
    <row r="7" spans="1:12" ht="26.5" x14ac:dyDescent="0.35">
      <c r="A7" s="33">
        <v>78</v>
      </c>
      <c r="B7" s="34">
        <v>46203</v>
      </c>
      <c r="C7" s="35" t="s">
        <v>115</v>
      </c>
      <c r="D7" s="36" t="s">
        <v>126</v>
      </c>
      <c r="E7" s="36" t="s">
        <v>127</v>
      </c>
      <c r="F7" s="37" t="str" cm="1">
        <f t="array" ref="F7">IFERROR(INDEX(_xlfn._xlws.FILTER('Standings Data'!$B$2:$B$49,('Standings Data'!$A$2:$A$49="E")*('Standings Data'!$K$2:$K$49=2)),1),"")</f>
        <v>Côte d'Ivoire</v>
      </c>
      <c r="G7" s="37" t="str" cm="1">
        <f t="array" ref="G7">IFERROR(INDEX(_xlfn._xlws.FILTER('Standings Data'!$B$2:$B$49,('Standings Data'!$A$2:$A$49="I")*('Standings Data'!$K$2:$K$49=2)),1),"")</f>
        <v>Norway</v>
      </c>
      <c r="H7" s="38" t="str">
        <f>IF(Knockout!$H$8="","",Knockout!$H$8)</f>
        <v/>
      </c>
      <c r="I7" s="38" t="str">
        <f>IF(Knockout!$I$8="","",Knockout!$I$8)</f>
        <v/>
      </c>
      <c r="J7" s="39" t="str">
        <f t="shared" si="0"/>
        <v/>
      </c>
      <c r="K7" s="35" t="s">
        <v>96</v>
      </c>
      <c r="L7" s="35"/>
    </row>
    <row r="8" spans="1:12" ht="26.5" x14ac:dyDescent="0.35">
      <c r="A8" s="40">
        <v>79</v>
      </c>
      <c r="B8" s="41">
        <v>46203</v>
      </c>
      <c r="C8" s="42" t="s">
        <v>115</v>
      </c>
      <c r="D8" s="43" t="s">
        <v>128</v>
      </c>
      <c r="E8" s="43" t="s">
        <v>129</v>
      </c>
      <c r="F8" s="37" t="str" cm="1">
        <f t="array" ref="F8">IFERROR(INDEX(_xlfn._xlws.FILTER('Standings Data'!$B$2:$B$49,('Standings Data'!$A$2:$A$49="A")*('Standings Data'!$K$2:$K$49=1)),1),"")</f>
        <v>Mexico</v>
      </c>
      <c r="G8" s="37" t="str" cm="1">
        <f t="array" ref="G8">_xlfn.LET(_xlpm.teams,'Standings Data'!$P$2:$P$13,_xlpm.grps,'Standings Data'!$Q$2:$Q$13,_xlpm.stat,'Standings Data'!$U$2:$U$13,_xlpm.priority,{"C","E","F","H","I"},_xlpm.ok,ISNUMBER(_xlfn.XMATCH(_xlpm.grps,_xlpm.priority))*(_xlpm.stat="Likely advances")*(COUNTIF($F$2:$G$7,_xlpm.teams)=0),IFERROR(INDEX(_xlfn.SORTBY(_xlfn._xlws.FILTER(_xlpm.teams,_xlpm.ok),_xlfn.XMATCH(_xlfn._xlws.FILTER(_xlpm.grps,_xlpm.ok),_xlpm.priority),1),1),""))</f>
        <v>Scotland</v>
      </c>
      <c r="H8" s="38" t="str">
        <f>IF(Knockout!$H$9="","",Knockout!$H$9)</f>
        <v/>
      </c>
      <c r="I8" s="38" t="str">
        <f>IF(Knockout!$I$9="","",Knockout!$I$9)</f>
        <v/>
      </c>
      <c r="J8" s="39" t="str">
        <f t="shared" si="0"/>
        <v/>
      </c>
      <c r="K8" s="42" t="s">
        <v>86</v>
      </c>
      <c r="L8" s="42"/>
    </row>
    <row r="9" spans="1:12" ht="26.5" x14ac:dyDescent="0.35">
      <c r="A9" s="33">
        <v>80</v>
      </c>
      <c r="B9" s="34">
        <v>46204</v>
      </c>
      <c r="C9" s="35" t="s">
        <v>115</v>
      </c>
      <c r="D9" s="36" t="s">
        <v>130</v>
      </c>
      <c r="E9" s="36" t="s">
        <v>131</v>
      </c>
      <c r="F9" s="37" t="str" cm="1">
        <f t="array" ref="F9">IFERROR(INDEX(_xlfn._xlws.FILTER('Standings Data'!$B$2:$B$49,('Standings Data'!$A$2:$A$49="L")*('Standings Data'!$K$2:$K$49=1)),1),"")</f>
        <v>England</v>
      </c>
      <c r="G9" s="37" t="str" cm="1">
        <f t="array" ref="G9">_xlfn.LET(_xlpm.teams,'Standings Data'!$P$2:$P$13,_xlpm.grps,'Standings Data'!$Q$2:$Q$13,_xlpm.stat,'Standings Data'!$U$2:$U$13,_xlpm.priority,{"J","E","H","I","K"},_xlpm.ok,ISNUMBER(_xlfn.XMATCH(_xlpm.grps,_xlpm.priority))*(_xlpm.stat="Likely advances")*(COUNTIF($F$2:$G$8,_xlpm.teams)=0),IFERROR(INDEX(_xlfn.SORTBY(_xlfn._xlws.FILTER(_xlpm.teams,_xlpm.ok),_xlfn.XMATCH(_xlfn._xlws.FILTER(_xlpm.grps,_xlpm.ok),_xlpm.priority),1),1),""))</f>
        <v>Algeria</v>
      </c>
      <c r="H9" s="38" t="str">
        <f>IF(Knockout!$H$10="","",Knockout!$H$10)</f>
        <v/>
      </c>
      <c r="I9" s="38" t="str">
        <f>IF(Knockout!$I$10="","",Knockout!$I$10)</f>
        <v/>
      </c>
      <c r="J9" s="39" t="str">
        <f t="shared" si="0"/>
        <v/>
      </c>
      <c r="K9" s="35" t="s">
        <v>99</v>
      </c>
      <c r="L9" s="35"/>
    </row>
    <row r="10" spans="1:12" ht="26.5" x14ac:dyDescent="0.35">
      <c r="A10" s="40">
        <v>81</v>
      </c>
      <c r="B10" s="41">
        <v>46204</v>
      </c>
      <c r="C10" s="42" t="s">
        <v>115</v>
      </c>
      <c r="D10" s="43" t="s">
        <v>132</v>
      </c>
      <c r="E10" s="43" t="s">
        <v>133</v>
      </c>
      <c r="F10" s="37" t="str" cm="1">
        <f t="array" ref="F10">IFERROR(INDEX(_xlfn._xlws.FILTER('Standings Data'!$B$2:$B$49,('Standings Data'!$A$2:$A$49="D")*('Standings Data'!$K$2:$K$49=1)),1),"")</f>
        <v>USA</v>
      </c>
      <c r="G10" s="37" t="str" cm="1">
        <f t="array" ref="G10">_xlfn.LET(_xlpm.teams,'Standings Data'!$P$2:$P$13,_xlpm.grps,'Standings Data'!$Q$2:$Q$13,_xlpm.stat,'Standings Data'!$U$2:$U$13,_xlpm.priority,{"E","B","F","I","J"},_xlpm.ok,ISNUMBER(_xlfn.XMATCH(_xlpm.grps,_xlpm.priority))*(_xlpm.stat="Likely advances")*(COUNTIF($F$2:$G$9,_xlpm.teams)=0),IFERROR(INDEX(_xlfn.SORTBY(_xlfn._xlws.FILTER(_xlpm.teams,_xlpm.ok),_xlfn.XMATCH(_xlfn._xlws.FILTER(_xlpm.grps,_xlpm.ok),_xlpm.priority),1),1),""))</f>
        <v>Ecuador</v>
      </c>
      <c r="H10" s="38" t="str">
        <f>IF(Knockout!$H$11="","",Knockout!$H$11)</f>
        <v/>
      </c>
      <c r="I10" s="38" t="str">
        <f>IF(Knockout!$I$11="","",Knockout!$I$11)</f>
        <v/>
      </c>
      <c r="J10" s="39" t="str">
        <f t="shared" si="0"/>
        <v/>
      </c>
      <c r="K10" s="42" t="s">
        <v>93</v>
      </c>
      <c r="L10" s="42"/>
    </row>
    <row r="11" spans="1:12" ht="26.5" x14ac:dyDescent="0.35">
      <c r="A11" s="33">
        <v>82</v>
      </c>
      <c r="B11" s="34">
        <v>46204</v>
      </c>
      <c r="C11" s="35" t="s">
        <v>115</v>
      </c>
      <c r="D11" s="36" t="s">
        <v>134</v>
      </c>
      <c r="E11" s="36" t="s">
        <v>135</v>
      </c>
      <c r="F11" s="37" t="str" cm="1">
        <f t="array" ref="F11">IFERROR(INDEX(_xlfn._xlws.FILTER('Standings Data'!$B$2:$B$49,('Standings Data'!$A$2:$A$49="G")*('Standings Data'!$K$2:$K$49=1)),1),"")</f>
        <v>Belgium</v>
      </c>
      <c r="G11" s="37" t="str" cm="1">
        <f t="array" ref="G11">_xlfn.LET(_xlpm.teams,'Standings Data'!$P$2:$P$13,_xlpm.grps,'Standings Data'!$Q$2:$Q$13,_xlpm.stat,'Standings Data'!$U$2:$U$13,_xlpm.priority,{"A","E","H","I","J"},_xlpm.ok,ISNUMBER(_xlfn.XMATCH(_xlpm.grps,_xlpm.priority))*(_xlpm.stat="Likely advances")*(COUNTIF($F$2:$G$10,_xlpm.teams)=0),IFERROR(INDEX(_xlfn.SORTBY(_xlfn._xlws.FILTER(_xlpm.teams,_xlpm.ok),_xlfn.XMATCH(_xlfn._xlws.FILTER(_xlpm.grps,_xlpm.ok),_xlpm.priority),1),1),""))</f>
        <v>Korea Republic</v>
      </c>
      <c r="H11" s="38" t="str">
        <f>IF(Knockout!$H$12="","",Knockout!$H$12)</f>
        <v/>
      </c>
      <c r="I11" s="38" t="str">
        <f>IF(Knockout!$I$12="","",Knockout!$I$12)</f>
        <v/>
      </c>
      <c r="J11" s="39" t="str">
        <f t="shared" si="0"/>
        <v/>
      </c>
      <c r="K11" s="35" t="s">
        <v>100</v>
      </c>
      <c r="L11" s="35"/>
    </row>
    <row r="12" spans="1:12" ht="26.5" x14ac:dyDescent="0.35">
      <c r="A12" s="40">
        <v>83</v>
      </c>
      <c r="B12" s="41">
        <v>46205</v>
      </c>
      <c r="C12" s="42" t="s">
        <v>115</v>
      </c>
      <c r="D12" s="43" t="s">
        <v>136</v>
      </c>
      <c r="E12" s="43" t="s">
        <v>137</v>
      </c>
      <c r="F12" s="37" t="str" cm="1">
        <f t="array" ref="F12">IFERROR(INDEX(_xlfn._xlws.FILTER('Standings Data'!$B$2:$B$49,('Standings Data'!$A$2:$A$49="K")*('Standings Data'!$K$2:$K$49=2)),1),"")</f>
        <v>Portugal</v>
      </c>
      <c r="G12" s="37" t="str" cm="1">
        <f t="array" ref="G12">IFERROR(INDEX(_xlfn._xlws.FILTER('Standings Data'!$B$2:$B$49,('Standings Data'!$A$2:$A$49="L")*('Standings Data'!$K$2:$K$49=2)),1),"")</f>
        <v>Croatia</v>
      </c>
      <c r="H12" s="38" t="str">
        <f>IF(Knockout!$H$13="","",Knockout!$H$13)</f>
        <v/>
      </c>
      <c r="I12" s="38" t="str">
        <f>IF(Knockout!$I$13="","",Knockout!$I$13)</f>
        <v/>
      </c>
      <c r="J12" s="39" t="str">
        <f t="shared" si="0"/>
        <v/>
      </c>
      <c r="K12" s="42" t="s">
        <v>88</v>
      </c>
      <c r="L12" s="42"/>
    </row>
    <row r="13" spans="1:12" ht="26.5" x14ac:dyDescent="0.35">
      <c r="A13" s="33">
        <v>84</v>
      </c>
      <c r="B13" s="34">
        <v>46205</v>
      </c>
      <c r="C13" s="35" t="s">
        <v>115</v>
      </c>
      <c r="D13" s="36" t="s">
        <v>138</v>
      </c>
      <c r="E13" s="36" t="s">
        <v>139</v>
      </c>
      <c r="F13" s="37" t="str" cm="1">
        <f t="array" ref="F13">IFERROR(INDEX(_xlfn._xlws.FILTER('Standings Data'!$B$2:$B$49,('Standings Data'!$A$2:$A$49="H")*('Standings Data'!$K$2:$K$49=1)),1),"")</f>
        <v>Spain</v>
      </c>
      <c r="G13" s="37" t="str" cm="1">
        <f t="array" ref="G13">IFERROR(INDEX(_xlfn._xlws.FILTER('Standings Data'!$B$2:$B$49,('Standings Data'!$A$2:$A$49="J")*('Standings Data'!$K$2:$K$49=2)),1),"")</f>
        <v>Austria</v>
      </c>
      <c r="H13" s="38" t="str">
        <f>IF(Knockout!$H$14="","",Knockout!$H$14)</f>
        <v/>
      </c>
      <c r="I13" s="38" t="str">
        <f>IF(Knockout!$I$14="","",Knockout!$I$14)</f>
        <v/>
      </c>
      <c r="J13" s="39" t="str">
        <f t="shared" si="0"/>
        <v/>
      </c>
      <c r="K13" s="35" t="s">
        <v>89</v>
      </c>
      <c r="L13" s="35"/>
    </row>
    <row r="14" spans="1:12" ht="26.5" x14ac:dyDescent="0.35">
      <c r="A14" s="40">
        <v>85</v>
      </c>
      <c r="B14" s="41">
        <v>46205</v>
      </c>
      <c r="C14" s="42" t="s">
        <v>115</v>
      </c>
      <c r="D14" s="43" t="s">
        <v>140</v>
      </c>
      <c r="E14" s="43" t="s">
        <v>141</v>
      </c>
      <c r="F14" s="37" t="str" cm="1">
        <f t="array" ref="F14">IFERROR(INDEX(_xlfn._xlws.FILTER('Standings Data'!$B$2:$B$49,('Standings Data'!$A$2:$A$49="B")*('Standings Data'!$K$2:$K$49=1)),1),"")</f>
        <v>Switzerland</v>
      </c>
      <c r="G14" s="37" t="str" cm="1">
        <f t="array" ref="G14">_xlfn.LET(_xlpm.teams,'Standings Data'!$P$2:$P$13,_xlpm.grps,'Standings Data'!$Q$2:$Q$13,_xlpm.stat,'Standings Data'!$U$2:$U$13,_xlpm.priority,{"F","E","G","I","J"},_xlpm.ok,ISNUMBER(_xlfn.XMATCH(_xlpm.grps,_xlpm.priority))*(_xlpm.stat="Likely advances")*(COUNTIF($F$2:$G$13,_xlpm.teams)=0),IFERROR(INDEX(_xlfn.SORTBY(_xlfn._xlws.FILTER(_xlpm.teams,_xlpm.ok),_xlfn.XMATCH(_xlfn._xlws.FILTER(_xlpm.grps,_xlpm.ok),_xlpm.priority),1),1),""))</f>
        <v>Sweden</v>
      </c>
      <c r="H14" s="38" t="str">
        <f>IF(Knockout!$H$15="","",Knockout!$H$15)</f>
        <v/>
      </c>
      <c r="I14" s="38" t="str">
        <f>IF(Knockout!$I$15="","",Knockout!$I$15)</f>
        <v/>
      </c>
      <c r="J14" s="39" t="str">
        <f t="shared" si="0"/>
        <v/>
      </c>
      <c r="K14" s="42" t="s">
        <v>91</v>
      </c>
      <c r="L14" s="42"/>
    </row>
    <row r="15" spans="1:12" ht="26.5" x14ac:dyDescent="0.35">
      <c r="A15" s="33">
        <v>86</v>
      </c>
      <c r="B15" s="34">
        <v>46206</v>
      </c>
      <c r="C15" s="35" t="s">
        <v>115</v>
      </c>
      <c r="D15" s="36" t="s">
        <v>142</v>
      </c>
      <c r="E15" s="36" t="s">
        <v>143</v>
      </c>
      <c r="F15" s="37" t="str" cm="1">
        <f t="array" ref="F15">IFERROR(INDEX(_xlfn._xlws.FILTER('Standings Data'!$B$2:$B$49,('Standings Data'!$A$2:$A$49="J")*('Standings Data'!$K$2:$K$49=1)),1),"")</f>
        <v>Argentina</v>
      </c>
      <c r="G15" s="37" t="str" cm="1">
        <f t="array" ref="G15">IFERROR(INDEX(_xlfn._xlws.FILTER('Standings Data'!$B$2:$B$49,('Standings Data'!$A$2:$A$49="H")*('Standings Data'!$K$2:$K$49=2)),1),"")</f>
        <v>Cabo Verde</v>
      </c>
      <c r="H15" s="38" t="str">
        <f>IF(Knockout!$H$16="","",Knockout!$H$16)</f>
        <v/>
      </c>
      <c r="I15" s="38" t="str">
        <f>IF(Knockout!$I$16="","",Knockout!$I$16)</f>
        <v/>
      </c>
      <c r="J15" s="39" t="str">
        <f t="shared" si="0"/>
        <v/>
      </c>
      <c r="K15" s="35" t="s">
        <v>98</v>
      </c>
      <c r="L15" s="35"/>
    </row>
    <row r="16" spans="1:12" ht="26.5" x14ac:dyDescent="0.35">
      <c r="A16" s="40">
        <v>87</v>
      </c>
      <c r="B16" s="41">
        <v>46206</v>
      </c>
      <c r="C16" s="42" t="s">
        <v>115</v>
      </c>
      <c r="D16" s="43" t="s">
        <v>144</v>
      </c>
      <c r="E16" s="43" t="s">
        <v>145</v>
      </c>
      <c r="F16" s="37" t="str" cm="1">
        <f t="array" ref="F16">IFERROR(INDEX(_xlfn._xlws.FILTER('Standings Data'!$B$2:$B$49,('Standings Data'!$A$2:$A$49="K")*('Standings Data'!$K$2:$K$49=1)),1),"")</f>
        <v>Colombia</v>
      </c>
      <c r="G16" s="37" t="str" cm="1">
        <f t="array" ref="G16">_xlfn.LET(_xlpm.teams,'Standings Data'!$P$2:$P$13,_xlpm.grps,'Standings Data'!$Q$2:$Q$13,_xlpm.stat,'Standings Data'!$U$2:$U$13,_xlpm.priority,{"L","D","E","I","J"},_xlpm.ok,ISNUMBER(_xlfn.XMATCH(_xlpm.grps,_xlpm.priority))*(_xlpm.stat="Likely advances")*(COUNTIF($F$2:$G$15,_xlpm.teams)=0),IFERROR(INDEX(_xlfn.SORTBY(_xlfn._xlws.FILTER(_xlpm.teams,_xlpm.ok),_xlfn.XMATCH(_xlfn._xlws.FILTER(_xlpm.grps,_xlpm.ok),_xlpm.priority),1),1),""))</f>
        <v>Ghana</v>
      </c>
      <c r="H16" s="38" t="str">
        <f>IF(Knockout!$H$17="","",Knockout!$H$17)</f>
        <v/>
      </c>
      <c r="I16" s="38" t="str">
        <f>IF(Knockout!$I$17="","",Knockout!$I$17)</f>
        <v/>
      </c>
      <c r="J16" s="39" t="str">
        <f t="shared" si="0"/>
        <v/>
      </c>
      <c r="K16" s="42" t="s">
        <v>101</v>
      </c>
      <c r="L16" s="42"/>
    </row>
    <row r="17" spans="1:12" ht="26.5" x14ac:dyDescent="0.35">
      <c r="A17" s="33">
        <v>88</v>
      </c>
      <c r="B17" s="34">
        <v>46206</v>
      </c>
      <c r="C17" s="35" t="s">
        <v>115</v>
      </c>
      <c r="D17" s="36" t="s">
        <v>146</v>
      </c>
      <c r="E17" s="36" t="s">
        <v>147</v>
      </c>
      <c r="F17" s="37" t="str" cm="1">
        <f t="array" ref="F17">IFERROR(INDEX(_xlfn._xlws.FILTER('Standings Data'!$B$2:$B$49,('Standings Data'!$A$2:$A$49="D")*('Standings Data'!$K$2:$K$49=2)),1),"")</f>
        <v>Australia</v>
      </c>
      <c r="G17" s="37" t="str" cm="1">
        <f t="array" ref="G17">IFERROR(INDEX(_xlfn._xlws.FILTER('Standings Data'!$B$2:$B$49,('Standings Data'!$A$2:$A$49="G")*('Standings Data'!$K$2:$K$49=2)),1),"")</f>
        <v>Egypt</v>
      </c>
      <c r="H17" s="38" t="str">
        <f>IF(Knockout!$H$18="","",Knockout!$H$18)</f>
        <v/>
      </c>
      <c r="I17" s="38" t="str">
        <f>IF(Knockout!$I$18="","",Knockout!$I$18)</f>
        <v/>
      </c>
      <c r="J17" s="39" t="str">
        <f t="shared" si="0"/>
        <v/>
      </c>
      <c r="K17" s="35" t="s">
        <v>96</v>
      </c>
      <c r="L17" s="35"/>
    </row>
    <row r="18" spans="1:12" x14ac:dyDescent="0.35">
      <c r="A18" s="40">
        <v>89</v>
      </c>
      <c r="B18" s="41">
        <v>46207</v>
      </c>
      <c r="C18" s="42" t="s">
        <v>148</v>
      </c>
      <c r="D18" s="43" t="s">
        <v>149</v>
      </c>
      <c r="E18" s="43" t="s">
        <v>150</v>
      </c>
      <c r="F18" s="37" t="str">
        <f>IFERROR(_xlfn.XLOOKUP(74,$A$2:$A$33,$J$2:$J$33,""),"")</f>
        <v/>
      </c>
      <c r="G18" s="37" t="str">
        <f>IFERROR(_xlfn.XLOOKUP(77,$A$2:$A$33,$J$2:$J$33,""),"")</f>
        <v/>
      </c>
      <c r="H18" s="38" t="str">
        <f>IF(Knockout!$H$22="","",Knockout!$H$22)</f>
        <v/>
      </c>
      <c r="I18" s="38" t="str">
        <f>IF(Knockout!$I$22="","",Knockout!$I$22)</f>
        <v/>
      </c>
      <c r="J18" s="39" t="str">
        <f t="shared" si="0"/>
        <v/>
      </c>
      <c r="K18" s="42" t="s">
        <v>94</v>
      </c>
      <c r="L18" s="42"/>
    </row>
    <row r="19" spans="1:12" x14ac:dyDescent="0.35">
      <c r="A19" s="33">
        <v>90</v>
      </c>
      <c r="B19" s="34">
        <v>46207</v>
      </c>
      <c r="C19" s="35" t="s">
        <v>148</v>
      </c>
      <c r="D19" s="36" t="s">
        <v>151</v>
      </c>
      <c r="E19" s="36" t="s">
        <v>152</v>
      </c>
      <c r="F19" s="37" t="str">
        <f>IFERROR(_xlfn.XLOOKUP(73,$A$2:$A$33,$J$2:$J$33,""),"")</f>
        <v>Canada</v>
      </c>
      <c r="G19" s="37" t="str">
        <f>IFERROR(_xlfn.XLOOKUP(75,$A$2:$A$33,$J$2:$J$33,""),"")</f>
        <v/>
      </c>
      <c r="H19" s="38" t="str">
        <f>IF(Knockout!$H$23="","",Knockout!$H$23)</f>
        <v/>
      </c>
      <c r="I19" s="38" t="str">
        <f>IF(Knockout!$I$23="","",Knockout!$I$23)</f>
        <v/>
      </c>
      <c r="J19" s="39" t="str">
        <f t="shared" si="0"/>
        <v/>
      </c>
      <c r="K19" s="35" t="s">
        <v>95</v>
      </c>
      <c r="L19" s="35"/>
    </row>
    <row r="20" spans="1:12" x14ac:dyDescent="0.35">
      <c r="A20" s="40">
        <v>91</v>
      </c>
      <c r="B20" s="41">
        <v>46208</v>
      </c>
      <c r="C20" s="42" t="s">
        <v>148</v>
      </c>
      <c r="D20" s="43" t="s">
        <v>153</v>
      </c>
      <c r="E20" s="43" t="s">
        <v>154</v>
      </c>
      <c r="F20" s="37" t="str">
        <f>IFERROR(_xlfn.XLOOKUP(76,$A$2:$A$33,$J$2:$J$33,""),"")</f>
        <v/>
      </c>
      <c r="G20" s="37" t="str">
        <f>IFERROR(_xlfn.XLOOKUP(78,$A$2:$A$33,$J$2:$J$33,""),"")</f>
        <v/>
      </c>
      <c r="H20" s="38" t="str">
        <f>IF(Knockout!$H$24="","",Knockout!$H$24)</f>
        <v/>
      </c>
      <c r="I20" s="38" t="str">
        <f>IF(Knockout!$I$24="","",Knockout!$I$24)</f>
        <v/>
      </c>
      <c r="J20" s="39" t="str">
        <f t="shared" si="0"/>
        <v/>
      </c>
      <c r="K20" s="42" t="s">
        <v>92</v>
      </c>
      <c r="L20" s="42"/>
    </row>
    <row r="21" spans="1:12" x14ac:dyDescent="0.35">
      <c r="A21" s="33">
        <v>92</v>
      </c>
      <c r="B21" s="34">
        <v>46208</v>
      </c>
      <c r="C21" s="35" t="s">
        <v>148</v>
      </c>
      <c r="D21" s="36" t="s">
        <v>155</v>
      </c>
      <c r="E21" s="36" t="s">
        <v>156</v>
      </c>
      <c r="F21" s="37" t="str">
        <f>IFERROR(_xlfn.XLOOKUP(79,$A$2:$A$33,$J$2:$J$33,""),"")</f>
        <v/>
      </c>
      <c r="G21" s="37" t="str">
        <f>IFERROR(_xlfn.XLOOKUP(80,$A$2:$A$33,$J$2:$J$33,""),"")</f>
        <v/>
      </c>
      <c r="H21" s="38" t="str">
        <f>IF(Knockout!$H$25="","",Knockout!$H$25)</f>
        <v/>
      </c>
      <c r="I21" s="38" t="str">
        <f>IF(Knockout!$I$25="","",Knockout!$I$25)</f>
        <v/>
      </c>
      <c r="J21" s="39" t="str">
        <f t="shared" si="0"/>
        <v/>
      </c>
      <c r="K21" s="35" t="s">
        <v>86</v>
      </c>
      <c r="L21" s="35"/>
    </row>
    <row r="22" spans="1:12" x14ac:dyDescent="0.35">
      <c r="A22" s="40">
        <v>93</v>
      </c>
      <c r="B22" s="41">
        <v>46209</v>
      </c>
      <c r="C22" s="42" t="s">
        <v>148</v>
      </c>
      <c r="D22" s="43" t="s">
        <v>157</v>
      </c>
      <c r="E22" s="43" t="s">
        <v>158</v>
      </c>
      <c r="F22" s="37" t="str">
        <f>IFERROR(_xlfn.XLOOKUP(83,$A$2:$A$33,$J$2:$J$33,""),"")</f>
        <v/>
      </c>
      <c r="G22" s="37" t="str">
        <f>IFERROR(_xlfn.XLOOKUP(84,$A$2:$A$33,$J$2:$J$33,""),"")</f>
        <v/>
      </c>
      <c r="H22" s="38" t="str">
        <f>IF(Knockout!$H$26="","",Knockout!$H$26)</f>
        <v/>
      </c>
      <c r="I22" s="38" t="str">
        <f>IF(Knockout!$I$26="","",Knockout!$I$26)</f>
        <v/>
      </c>
      <c r="J22" s="39" t="str">
        <f t="shared" si="0"/>
        <v/>
      </c>
      <c r="K22" s="42" t="s">
        <v>96</v>
      </c>
      <c r="L22" s="42"/>
    </row>
    <row r="23" spans="1:12" x14ac:dyDescent="0.35">
      <c r="A23" s="33">
        <v>94</v>
      </c>
      <c r="B23" s="34">
        <v>46209</v>
      </c>
      <c r="C23" s="35" t="s">
        <v>148</v>
      </c>
      <c r="D23" s="36" t="s">
        <v>159</v>
      </c>
      <c r="E23" s="36" t="s">
        <v>160</v>
      </c>
      <c r="F23" s="37" t="str">
        <f>IFERROR(_xlfn.XLOOKUP(81,$A$2:$A$33,$J$2:$J$33,""),"")</f>
        <v/>
      </c>
      <c r="G23" s="37" t="str">
        <f>IFERROR(_xlfn.XLOOKUP(82,$A$2:$A$33,$J$2:$J$33,""),"")</f>
        <v/>
      </c>
      <c r="H23" s="38" t="str">
        <f>IF(Knockout!$H$27="","",Knockout!$H$27)</f>
        <v/>
      </c>
      <c r="I23" s="38" t="str">
        <f>IF(Knockout!$I$27="","",Knockout!$I$27)</f>
        <v/>
      </c>
      <c r="J23" s="39" t="str">
        <f t="shared" si="0"/>
        <v/>
      </c>
      <c r="K23" s="35" t="s">
        <v>100</v>
      </c>
      <c r="L23" s="35"/>
    </row>
    <row r="24" spans="1:12" x14ac:dyDescent="0.35">
      <c r="A24" s="40">
        <v>95</v>
      </c>
      <c r="B24" s="41">
        <v>46210</v>
      </c>
      <c r="C24" s="42" t="s">
        <v>148</v>
      </c>
      <c r="D24" s="43" t="s">
        <v>161</v>
      </c>
      <c r="E24" s="43" t="s">
        <v>162</v>
      </c>
      <c r="F24" s="37" t="str">
        <f>IFERROR(_xlfn.XLOOKUP(86,$A$2:$A$33,$J$2:$J$33,""),"")</f>
        <v/>
      </c>
      <c r="G24" s="37" t="str">
        <f>IFERROR(_xlfn.XLOOKUP(88,$A$2:$A$33,$J$2:$J$33,""),"")</f>
        <v/>
      </c>
      <c r="H24" s="38" t="str">
        <f>IF(Knockout!$H$28="","",Knockout!$H$28)</f>
        <v/>
      </c>
      <c r="I24" s="38" t="str">
        <f>IF(Knockout!$I$28="","",Knockout!$I$28)</f>
        <v/>
      </c>
      <c r="J24" s="39" t="str">
        <f t="shared" si="0"/>
        <v/>
      </c>
      <c r="K24" s="42" t="s">
        <v>99</v>
      </c>
      <c r="L24" s="42"/>
    </row>
    <row r="25" spans="1:12" x14ac:dyDescent="0.35">
      <c r="A25" s="33">
        <v>96</v>
      </c>
      <c r="B25" s="34">
        <v>46210</v>
      </c>
      <c r="C25" s="35" t="s">
        <v>148</v>
      </c>
      <c r="D25" s="36" t="s">
        <v>163</v>
      </c>
      <c r="E25" s="36" t="s">
        <v>164</v>
      </c>
      <c r="F25" s="37" t="str">
        <f>IFERROR(_xlfn.XLOOKUP(85,$A$2:$A$33,$J$2:$J$33,""),"")</f>
        <v/>
      </c>
      <c r="G25" s="37" t="str">
        <f>IFERROR(_xlfn.XLOOKUP(87,$A$2:$A$33,$J$2:$J$33,""),"")</f>
        <v/>
      </c>
      <c r="H25" s="38" t="str">
        <f>IF(Knockout!$H$29="","",Knockout!$H$29)</f>
        <v/>
      </c>
      <c r="I25" s="38" t="str">
        <f>IF(Knockout!$I$29="","",Knockout!$I$29)</f>
        <v/>
      </c>
      <c r="J25" s="39" t="str">
        <f t="shared" si="0"/>
        <v/>
      </c>
      <c r="K25" s="35" t="s">
        <v>91</v>
      </c>
      <c r="L25" s="35"/>
    </row>
    <row r="26" spans="1:12" x14ac:dyDescent="0.35">
      <c r="A26" s="40">
        <v>97</v>
      </c>
      <c r="B26" s="41">
        <v>46212</v>
      </c>
      <c r="C26" s="42" t="s">
        <v>165</v>
      </c>
      <c r="D26" s="43" t="s">
        <v>166</v>
      </c>
      <c r="E26" s="43" t="s">
        <v>167</v>
      </c>
      <c r="F26" s="37" t="str">
        <f>IFERROR(_xlfn.XLOOKUP(89,$A$2:$A$33,$J$2:$J$33,""),"")</f>
        <v/>
      </c>
      <c r="G26" s="37" t="str">
        <f>IFERROR(_xlfn.XLOOKUP(90,$A$2:$A$33,$J$2:$J$33,""),"")</f>
        <v/>
      </c>
      <c r="H26" s="38" t="str">
        <f>IF(Knockout!$H$33="","",Knockout!$H$33)</f>
        <v/>
      </c>
      <c r="I26" s="38" t="str">
        <f>IF(Knockout!$I$33="","",Knockout!$I$33)</f>
        <v/>
      </c>
      <c r="J26" s="39" t="str">
        <f t="shared" si="0"/>
        <v/>
      </c>
      <c r="K26" s="42" t="s">
        <v>90</v>
      </c>
      <c r="L26" s="42"/>
    </row>
    <row r="27" spans="1:12" x14ac:dyDescent="0.35">
      <c r="A27" s="33">
        <v>98</v>
      </c>
      <c r="B27" s="34">
        <v>46213</v>
      </c>
      <c r="C27" s="35" t="s">
        <v>165</v>
      </c>
      <c r="D27" s="36" t="s">
        <v>168</v>
      </c>
      <c r="E27" s="36" t="s">
        <v>169</v>
      </c>
      <c r="F27" s="37" t="str">
        <f>IFERROR(_xlfn.XLOOKUP(93,$A$2:$A$33,$J$2:$J$33,""),"")</f>
        <v/>
      </c>
      <c r="G27" s="37" t="str">
        <f>IFERROR(_xlfn.XLOOKUP(94,$A$2:$A$33,$J$2:$J$33,""),"")</f>
        <v/>
      </c>
      <c r="H27" s="38" t="str">
        <f>IF(Knockout!$H$34="","",Knockout!$H$34)</f>
        <v/>
      </c>
      <c r="I27" s="38" t="str">
        <f>IF(Knockout!$I$34="","",Knockout!$I$34)</f>
        <v/>
      </c>
      <c r="J27" s="39" t="str">
        <f t="shared" si="0"/>
        <v/>
      </c>
      <c r="K27" s="35" t="s">
        <v>89</v>
      </c>
      <c r="L27" s="35"/>
    </row>
    <row r="28" spans="1:12" x14ac:dyDescent="0.35">
      <c r="A28" s="40">
        <v>99</v>
      </c>
      <c r="B28" s="41">
        <v>46214</v>
      </c>
      <c r="C28" s="42" t="s">
        <v>165</v>
      </c>
      <c r="D28" s="43" t="s">
        <v>170</v>
      </c>
      <c r="E28" s="43" t="s">
        <v>171</v>
      </c>
      <c r="F28" s="37" t="str">
        <f>IFERROR(_xlfn.XLOOKUP(91,$A$2:$A$33,$J$2:$J$33,""),"")</f>
        <v/>
      </c>
      <c r="G28" s="37" t="str">
        <f>IFERROR(_xlfn.XLOOKUP(92,$A$2:$A$33,$J$2:$J$33,""),"")</f>
        <v/>
      </c>
      <c r="H28" s="38" t="str">
        <f>IF(Knockout!$H$35="","",Knockout!$H$35)</f>
        <v/>
      </c>
      <c r="I28" s="38" t="str">
        <f>IF(Knockout!$I$35="","",Knockout!$I$35)</f>
        <v/>
      </c>
      <c r="J28" s="39" t="str">
        <f t="shared" si="0"/>
        <v/>
      </c>
      <c r="K28" s="42" t="s">
        <v>98</v>
      </c>
      <c r="L28" s="42"/>
    </row>
    <row r="29" spans="1:12" x14ac:dyDescent="0.35">
      <c r="A29" s="33">
        <v>100</v>
      </c>
      <c r="B29" s="34">
        <v>46214</v>
      </c>
      <c r="C29" s="35" t="s">
        <v>165</v>
      </c>
      <c r="D29" s="36" t="s">
        <v>172</v>
      </c>
      <c r="E29" s="36" t="s">
        <v>173</v>
      </c>
      <c r="F29" s="37" t="str">
        <f>IFERROR(_xlfn.XLOOKUP(95,$A$2:$A$33,$J$2:$J$33,""),"")</f>
        <v/>
      </c>
      <c r="G29" s="37" t="str">
        <f>IFERROR(_xlfn.XLOOKUP(96,$A$2:$A$33,$J$2:$J$33,""),"")</f>
        <v/>
      </c>
      <c r="H29" s="38" t="str">
        <f>IF(Knockout!$H$36="","",Knockout!$H$36)</f>
        <v/>
      </c>
      <c r="I29" s="38" t="str">
        <f>IF(Knockout!$I$36="","",Knockout!$I$36)</f>
        <v/>
      </c>
      <c r="J29" s="39" t="str">
        <f t="shared" si="0"/>
        <v/>
      </c>
      <c r="K29" s="35" t="s">
        <v>101</v>
      </c>
      <c r="L29" s="35"/>
    </row>
    <row r="30" spans="1:12" x14ac:dyDescent="0.35">
      <c r="A30" s="40">
        <v>101</v>
      </c>
      <c r="B30" s="41">
        <v>46217</v>
      </c>
      <c r="C30" s="42" t="s">
        <v>174</v>
      </c>
      <c r="D30" s="43" t="s">
        <v>175</v>
      </c>
      <c r="E30" s="43" t="s">
        <v>176</v>
      </c>
      <c r="F30" s="37" t="str">
        <f>IFERROR(_xlfn.XLOOKUP(97,$A$2:$A$33,$J$2:$J$33,""),"")</f>
        <v/>
      </c>
      <c r="G30" s="37" t="str">
        <f>IFERROR(_xlfn.XLOOKUP(98,$A$2:$A$33,$J$2:$J$33,""),"")</f>
        <v/>
      </c>
      <c r="H30" s="38" t="str">
        <f>IF(Knockout!$H$40="","",Knockout!$H$40)</f>
        <v/>
      </c>
      <c r="I30" s="38" t="str">
        <f>IF(Knockout!$I$40="","",Knockout!$I$40)</f>
        <v/>
      </c>
      <c r="J30" s="39" t="str">
        <f t="shared" si="0"/>
        <v/>
      </c>
      <c r="K30" s="42" t="s">
        <v>96</v>
      </c>
      <c r="L30" s="42"/>
    </row>
    <row r="31" spans="1:12" ht="26.5" x14ac:dyDescent="0.35">
      <c r="A31" s="33">
        <v>102</v>
      </c>
      <c r="B31" s="34">
        <v>46218</v>
      </c>
      <c r="C31" s="35" t="s">
        <v>174</v>
      </c>
      <c r="D31" s="36" t="s">
        <v>177</v>
      </c>
      <c r="E31" s="36" t="s">
        <v>178</v>
      </c>
      <c r="F31" s="37" t="str">
        <f>IFERROR(_xlfn.XLOOKUP(99,$A$2:$A$33,$J$2:$J$33,""),"")</f>
        <v/>
      </c>
      <c r="G31" s="37" t="str">
        <f>IFERROR(_xlfn.XLOOKUP(100,$A$2:$A$33,$J$2:$J$33,""),"")</f>
        <v/>
      </c>
      <c r="H31" s="38" t="str">
        <f>IF(Knockout!$H$41="","",Knockout!$H$41)</f>
        <v/>
      </c>
      <c r="I31" s="38" t="str">
        <f>IF(Knockout!$I$41="","",Knockout!$I$41)</f>
        <v/>
      </c>
      <c r="J31" s="39" t="str">
        <f t="shared" si="0"/>
        <v/>
      </c>
      <c r="K31" s="35" t="s">
        <v>99</v>
      </c>
      <c r="L31" s="35"/>
    </row>
    <row r="32" spans="1:12" ht="26.5" x14ac:dyDescent="0.35">
      <c r="A32" s="40">
        <v>103</v>
      </c>
      <c r="B32" s="41">
        <v>46221</v>
      </c>
      <c r="C32" s="42" t="s">
        <v>179</v>
      </c>
      <c r="D32" s="43" t="s">
        <v>180</v>
      </c>
      <c r="E32" s="43" t="s">
        <v>181</v>
      </c>
      <c r="F32" s="37" t="str">
        <f>_xlfn.LET(_xlpm.teamOne,_xlfn.XLOOKUP(101,$A$2:$A$33,$F$2:$F$33,""),_xlpm.teamTwo,_xlfn.XLOOKUP(101,$A$2:$A$33,$G$2:$G$33,""),_xlpm.winnerName,_xlfn.XLOOKUP(101,$A$2:$A$33,$J$2:$J$33,""),IF(_xlpm.winnerName="","",IF(_xlpm.winnerName=_xlpm.teamOne,_xlpm.teamTwo,_xlpm.teamOne)))</f>
        <v/>
      </c>
      <c r="G32" s="37" t="str">
        <f>_xlfn.LET(_xlpm.teamOne,_xlfn.XLOOKUP(102,$A$2:$A$33,$F$2:$F$33,""),_xlpm.teamTwo,_xlfn.XLOOKUP(102,$A$2:$A$33,$G$2:$G$33,""),_xlpm.winnerName,_xlfn.XLOOKUP(102,$A$2:$A$33,$J$2:$J$33,""),IF(_xlpm.winnerName="","",IF(_xlpm.winnerName=_xlpm.teamOne,_xlpm.teamTwo,_xlpm.teamOne)))</f>
        <v/>
      </c>
      <c r="H32" s="38" t="str">
        <f>IF(Knockout!$H$45="","",Knockout!$H$45)</f>
        <v/>
      </c>
      <c r="I32" s="38" t="str">
        <f>IF(Knockout!$I$45="","",Knockout!$I$45)</f>
        <v/>
      </c>
      <c r="J32" s="39" t="str">
        <f t="shared" si="0"/>
        <v/>
      </c>
      <c r="K32" s="42" t="s">
        <v>98</v>
      </c>
      <c r="L32" s="42" t="s">
        <v>187</v>
      </c>
    </row>
    <row r="33" spans="1:12" ht="26.5" x14ac:dyDescent="0.35">
      <c r="A33" s="33">
        <v>104</v>
      </c>
      <c r="B33" s="34">
        <v>46222</v>
      </c>
      <c r="C33" s="35" t="s">
        <v>182</v>
      </c>
      <c r="D33" s="36" t="s">
        <v>183</v>
      </c>
      <c r="E33" s="36" t="s">
        <v>184</v>
      </c>
      <c r="F33" s="37" t="str">
        <f>IFERROR(_xlfn.XLOOKUP(101,$A$2:$A$33,$J$2:$J$33,""),"")</f>
        <v/>
      </c>
      <c r="G33" s="37" t="str">
        <f>IFERROR(_xlfn.XLOOKUP(102,$A$2:$A$33,$J$2:$J$33,""),"")</f>
        <v/>
      </c>
      <c r="H33" s="38" t="str">
        <f>IF(Knockout!$H$49="","",Knockout!$H$49)</f>
        <v/>
      </c>
      <c r="I33" s="38" t="str">
        <f>IF(Knockout!$I$49="","",Knockout!$I$49)</f>
        <v/>
      </c>
      <c r="J33" s="39" t="str">
        <f t="shared" si="0"/>
        <v/>
      </c>
      <c r="K33" s="35" t="s">
        <v>92</v>
      </c>
      <c r="L33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EEF1-8989-4EC2-AB9D-CA8570B43B2F}">
  <dimension ref="A1:B49"/>
  <sheetViews>
    <sheetView workbookViewId="0"/>
  </sheetViews>
  <sheetFormatPr defaultRowHeight="14.5" x14ac:dyDescent="0.35"/>
  <cols>
    <col min="2" max="2" width="21.54296875" bestFit="1" customWidth="1"/>
  </cols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14</v>
      </c>
      <c r="B3" t="s">
        <v>16</v>
      </c>
    </row>
    <row r="4" spans="1:2" x14ac:dyDescent="0.35">
      <c r="A4" t="s">
        <v>14</v>
      </c>
      <c r="B4" t="s">
        <v>17</v>
      </c>
    </row>
    <row r="5" spans="1:2" x14ac:dyDescent="0.35">
      <c r="A5" t="s">
        <v>14</v>
      </c>
      <c r="B5" t="s">
        <v>18</v>
      </c>
    </row>
    <row r="6" spans="1:2" x14ac:dyDescent="0.35">
      <c r="A6" t="s">
        <v>19</v>
      </c>
      <c r="B6" t="s">
        <v>20</v>
      </c>
    </row>
    <row r="7" spans="1:2" x14ac:dyDescent="0.35">
      <c r="A7" t="s">
        <v>19</v>
      </c>
      <c r="B7" t="s">
        <v>21</v>
      </c>
    </row>
    <row r="8" spans="1:2" x14ac:dyDescent="0.35">
      <c r="A8" t="s">
        <v>19</v>
      </c>
      <c r="B8" t="s">
        <v>22</v>
      </c>
    </row>
    <row r="9" spans="1:2" x14ac:dyDescent="0.35">
      <c r="A9" t="s">
        <v>19</v>
      </c>
      <c r="B9" t="s">
        <v>23</v>
      </c>
    </row>
    <row r="10" spans="1:2" x14ac:dyDescent="0.35">
      <c r="A10" t="s">
        <v>24</v>
      </c>
      <c r="B10" t="s">
        <v>25</v>
      </c>
    </row>
    <row r="11" spans="1:2" x14ac:dyDescent="0.35">
      <c r="A11" t="s">
        <v>24</v>
      </c>
      <c r="B11" t="s">
        <v>26</v>
      </c>
    </row>
    <row r="12" spans="1:2" x14ac:dyDescent="0.35">
      <c r="A12" t="s">
        <v>24</v>
      </c>
      <c r="B12" t="s">
        <v>27</v>
      </c>
    </row>
    <row r="13" spans="1:2" x14ac:dyDescent="0.35">
      <c r="A13" t="s">
        <v>24</v>
      </c>
      <c r="B13" t="s">
        <v>28</v>
      </c>
    </row>
    <row r="14" spans="1:2" x14ac:dyDescent="0.35">
      <c r="A14" t="s">
        <v>29</v>
      </c>
      <c r="B14" t="s">
        <v>30</v>
      </c>
    </row>
    <row r="15" spans="1:2" x14ac:dyDescent="0.35">
      <c r="A15" t="s">
        <v>29</v>
      </c>
      <c r="B15" t="s">
        <v>31</v>
      </c>
    </row>
    <row r="16" spans="1:2" x14ac:dyDescent="0.35">
      <c r="A16" t="s">
        <v>29</v>
      </c>
      <c r="B16" t="s">
        <v>32</v>
      </c>
    </row>
    <row r="17" spans="1:2" x14ac:dyDescent="0.35">
      <c r="A17" t="s">
        <v>29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34</v>
      </c>
      <c r="B19" t="s">
        <v>36</v>
      </c>
    </row>
    <row r="20" spans="1:2" x14ac:dyDescent="0.35">
      <c r="A20" t="s">
        <v>34</v>
      </c>
      <c r="B20" t="s">
        <v>37</v>
      </c>
    </row>
    <row r="21" spans="1:2" x14ac:dyDescent="0.35">
      <c r="A21" t="s">
        <v>34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39</v>
      </c>
      <c r="B23" t="s">
        <v>41</v>
      </c>
    </row>
    <row r="24" spans="1:2" x14ac:dyDescent="0.35">
      <c r="A24" t="s">
        <v>39</v>
      </c>
      <c r="B24" t="s">
        <v>42</v>
      </c>
    </row>
    <row r="25" spans="1:2" x14ac:dyDescent="0.35">
      <c r="A25" t="s">
        <v>39</v>
      </c>
      <c r="B25" t="s">
        <v>43</v>
      </c>
    </row>
    <row r="26" spans="1:2" x14ac:dyDescent="0.35">
      <c r="A26" t="s">
        <v>44</v>
      </c>
      <c r="B26" t="s">
        <v>45</v>
      </c>
    </row>
    <row r="27" spans="1:2" x14ac:dyDescent="0.35">
      <c r="A27" t="s">
        <v>44</v>
      </c>
      <c r="B27" t="s">
        <v>46</v>
      </c>
    </row>
    <row r="28" spans="1:2" x14ac:dyDescent="0.35">
      <c r="A28" t="s">
        <v>44</v>
      </c>
      <c r="B28" t="s">
        <v>47</v>
      </c>
    </row>
    <row r="29" spans="1:2" x14ac:dyDescent="0.35">
      <c r="A29" t="s">
        <v>44</v>
      </c>
      <c r="B29" t="s">
        <v>48</v>
      </c>
    </row>
    <row r="30" spans="1:2" x14ac:dyDescent="0.35">
      <c r="A30" t="s">
        <v>49</v>
      </c>
      <c r="B30" t="s">
        <v>50</v>
      </c>
    </row>
    <row r="31" spans="1:2" x14ac:dyDescent="0.35">
      <c r="A31" t="s">
        <v>49</v>
      </c>
      <c r="B31" t="s">
        <v>51</v>
      </c>
    </row>
    <row r="32" spans="1:2" x14ac:dyDescent="0.35">
      <c r="A32" t="s">
        <v>49</v>
      </c>
      <c r="B32" t="s">
        <v>52</v>
      </c>
    </row>
    <row r="33" spans="1:2" x14ac:dyDescent="0.35">
      <c r="A33" t="s">
        <v>49</v>
      </c>
      <c r="B33" t="s">
        <v>53</v>
      </c>
    </row>
    <row r="34" spans="1:2" x14ac:dyDescent="0.35">
      <c r="A34" t="s">
        <v>54</v>
      </c>
      <c r="B34" t="s">
        <v>55</v>
      </c>
    </row>
    <row r="35" spans="1:2" x14ac:dyDescent="0.35">
      <c r="A35" t="s">
        <v>54</v>
      </c>
      <c r="B35" t="s">
        <v>56</v>
      </c>
    </row>
    <row r="36" spans="1:2" x14ac:dyDescent="0.35">
      <c r="A36" t="s">
        <v>54</v>
      </c>
      <c r="B36" t="s">
        <v>57</v>
      </c>
    </row>
    <row r="37" spans="1:2" x14ac:dyDescent="0.35">
      <c r="A37" t="s">
        <v>54</v>
      </c>
      <c r="B37" t="s">
        <v>58</v>
      </c>
    </row>
    <row r="38" spans="1:2" x14ac:dyDescent="0.35">
      <c r="A38" t="s">
        <v>59</v>
      </c>
      <c r="B38" t="s">
        <v>60</v>
      </c>
    </row>
    <row r="39" spans="1:2" x14ac:dyDescent="0.35">
      <c r="A39" t="s">
        <v>59</v>
      </c>
      <c r="B39" t="s">
        <v>61</v>
      </c>
    </row>
    <row r="40" spans="1:2" x14ac:dyDescent="0.35">
      <c r="A40" t="s">
        <v>59</v>
      </c>
      <c r="B40" t="s">
        <v>62</v>
      </c>
    </row>
    <row r="41" spans="1:2" x14ac:dyDescent="0.35">
      <c r="A41" t="s">
        <v>59</v>
      </c>
      <c r="B41" t="s">
        <v>63</v>
      </c>
    </row>
    <row r="42" spans="1:2" x14ac:dyDescent="0.35">
      <c r="A42" t="s">
        <v>64</v>
      </c>
      <c r="B42" t="s">
        <v>65</v>
      </c>
    </row>
    <row r="43" spans="1:2" x14ac:dyDescent="0.35">
      <c r="A43" t="s">
        <v>64</v>
      </c>
      <c r="B43" t="s">
        <v>66</v>
      </c>
    </row>
    <row r="44" spans="1:2" x14ac:dyDescent="0.35">
      <c r="A44" t="s">
        <v>64</v>
      </c>
      <c r="B44" t="s">
        <v>67</v>
      </c>
    </row>
    <row r="45" spans="1:2" x14ac:dyDescent="0.35">
      <c r="A45" t="s">
        <v>64</v>
      </c>
      <c r="B45" t="s">
        <v>68</v>
      </c>
    </row>
    <row r="46" spans="1:2" x14ac:dyDescent="0.35">
      <c r="A46" t="s">
        <v>69</v>
      </c>
      <c r="B46" t="s">
        <v>70</v>
      </c>
    </row>
    <row r="47" spans="1:2" x14ac:dyDescent="0.35">
      <c r="A47" t="s">
        <v>69</v>
      </c>
      <c r="B47" t="s">
        <v>71</v>
      </c>
    </row>
    <row r="48" spans="1:2" x14ac:dyDescent="0.35">
      <c r="A48" t="s">
        <v>69</v>
      </c>
      <c r="B48" t="s">
        <v>72</v>
      </c>
    </row>
    <row r="49" spans="1:2" x14ac:dyDescent="0.35">
      <c r="A49" t="s">
        <v>69</v>
      </c>
      <c r="B49" t="s">
        <v>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7485-7DE6-4E3F-94FF-1C0BB45E98C8}">
  <dimension ref="A1:B13"/>
  <sheetViews>
    <sheetView workbookViewId="0"/>
  </sheetViews>
  <sheetFormatPr defaultRowHeight="14.5" x14ac:dyDescent="0.35"/>
  <cols>
    <col min="1" max="1" width="32.08984375" bestFit="1" customWidth="1"/>
    <col min="2" max="2" width="37.6328125" bestFit="1" customWidth="1"/>
  </cols>
  <sheetData>
    <row r="1" spans="1:2" x14ac:dyDescent="0.35">
      <c r="A1" s="5" t="s">
        <v>0</v>
      </c>
      <c r="B1" s="5"/>
    </row>
    <row r="2" spans="1:2" x14ac:dyDescent="0.35">
      <c r="A2" s="1"/>
      <c r="B2" s="1"/>
    </row>
    <row r="3" spans="1:2" x14ac:dyDescent="0.35">
      <c r="A3" s="1" t="s">
        <v>1</v>
      </c>
      <c r="B3" s="4">
        <v>46184</v>
      </c>
    </row>
    <row r="4" spans="1:2" x14ac:dyDescent="0.35">
      <c r="A4" s="1" t="s">
        <v>2</v>
      </c>
      <c r="B4" s="4">
        <v>46222</v>
      </c>
    </row>
    <row r="5" spans="1:2" x14ac:dyDescent="0.35">
      <c r="A5" s="1" t="s">
        <v>3</v>
      </c>
      <c r="B5" s="1">
        <v>48</v>
      </c>
    </row>
    <row r="6" spans="1:2" x14ac:dyDescent="0.35">
      <c r="A6" s="1" t="s">
        <v>4</v>
      </c>
      <c r="B6" s="1">
        <v>12</v>
      </c>
    </row>
    <row r="7" spans="1:2" x14ac:dyDescent="0.35">
      <c r="A7" s="1" t="s">
        <v>5</v>
      </c>
      <c r="B7" s="1">
        <v>104</v>
      </c>
    </row>
    <row r="8" spans="1:2" x14ac:dyDescent="0.35">
      <c r="A8" s="1" t="s">
        <v>6</v>
      </c>
      <c r="B8" s="1" t="s">
        <v>7</v>
      </c>
    </row>
    <row r="9" spans="1:2" x14ac:dyDescent="0.35">
      <c r="A9" s="1" t="s">
        <v>8</v>
      </c>
      <c r="B9" s="1">
        <v>3</v>
      </c>
    </row>
    <row r="10" spans="1:2" x14ac:dyDescent="0.35">
      <c r="A10" s="1" t="s">
        <v>9</v>
      </c>
      <c r="B10" s="1">
        <v>1</v>
      </c>
    </row>
    <row r="11" spans="1:2" x14ac:dyDescent="0.35">
      <c r="A11" s="1" t="s">
        <v>10</v>
      </c>
      <c r="B11" s="1">
        <v>0</v>
      </c>
    </row>
    <row r="12" spans="1:2" x14ac:dyDescent="0.35">
      <c r="A12" s="1" t="s">
        <v>11</v>
      </c>
      <c r="B12" s="4" t="s">
        <v>207</v>
      </c>
    </row>
    <row r="13" spans="1:2" x14ac:dyDescent="0.35">
      <c r="A13" s="1" t="s">
        <v>185</v>
      </c>
      <c r="B13" s="1" t="s">
        <v>186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Standings</vt:lpstr>
      <vt:lpstr>Matches</vt:lpstr>
      <vt:lpstr>Standings Data</vt:lpstr>
      <vt:lpstr>Knockout</vt:lpstr>
      <vt:lpstr>Knockout Data</vt:lpstr>
      <vt:lpstr>Teams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Vernocchi</dc:creator>
  <cp:lastModifiedBy>Pablo Vernocchi</cp:lastModifiedBy>
  <dcterms:created xsi:type="dcterms:W3CDTF">2026-06-26T08:21:06Z</dcterms:created>
  <dcterms:modified xsi:type="dcterms:W3CDTF">2026-06-29T09:00:13Z</dcterms:modified>
</cp:coreProperties>
</file>